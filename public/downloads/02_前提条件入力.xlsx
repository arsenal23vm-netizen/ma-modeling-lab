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使い方" state="visible" r:id="rId4"/>
    <sheet sheetId="2" name="前提" state="visible" r:id="rId5"/>
    <sheet sheetId="3" name="Base" state="visible" r:id="rId6"/>
    <sheet sheetId="4" name="Upside" state="visible" r:id="rId7"/>
    <sheet sheetId="5" name="Downside" state="visible" r:id="rId8"/>
    <sheet sheetId="6" name="チェック" state="visible" r:id="rId9"/>
  </sheets>
  <definedNames>
    <definedName name="_xlnm.Print_Area" localSheetId="0">'使い方'!$A1:$F30</definedName>
    <definedName name="_xlnm.Print_Area" localSheetId="1">'前提'!$A1:$F30</definedName>
    <definedName name="_xlnm.Print_Area" localSheetId="2">'Base'!$A1:$F30</definedName>
    <definedName name="_xlnm.Print_Area" localSheetId="3">'Upside'!$A1:$F30</definedName>
    <definedName name="_xlnm.Print_Area" localSheetId="4">'Downside'!$A1:$F30</definedName>
    <definedName name="_xlnm.Print_Area" localSheetId="5">'チェック'!$A1:$F30</definedName>
  </definedNames>
  <calcPr calcId="171027" fullCalcOnLoad="1"/>
</workbook>
</file>

<file path=xl/sharedStrings.xml><?xml version="1.0" encoding="utf-8"?>
<sst xmlns="http://schemas.openxmlformats.org/spreadsheetml/2006/main" count="62" uniqueCount="45">
  <si>
    <t>使い方</t>
  </si>
  <si>
    <t>青色セルへ入力し、数式セルとチェック結果を確認してください。単位：百万円。</t>
  </si>
  <si>
    <t>手順</t>
  </si>
  <si>
    <t>作業</t>
  </si>
  <si>
    <t>確認事項</t>
  </si>
  <si>
    <t>成果物</t>
  </si>
  <si>
    <t>前提を入力</t>
  </si>
  <si>
    <t>基準日・単位・出所を記録</t>
  </si>
  <si>
    <t>入力済み前提</t>
  </si>
  <si>
    <t>計算を確認</t>
  </si>
  <si>
    <t>数式の流れと符号を確認</t>
  </si>
  <si>
    <t>計算明細</t>
  </si>
  <si>
    <t>チェックを実施</t>
  </si>
  <si>
    <t>差額がゼロ、判定が適合</t>
  </si>
  <si>
    <t>レビュー可能なモデル</t>
  </si>
  <si>
    <t>前提</t>
  </si>
  <si>
    <t>Base / Upside / Downsideを同じ定義と単位で管理します。</t>
  </si>
  <si>
    <t>前提項目</t>
  </si>
  <si>
    <t>Base</t>
  </si>
  <si>
    <t>Upside</t>
  </si>
  <si>
    <t>Downside</t>
  </si>
  <si>
    <t>単位</t>
  </si>
  <si>
    <t>出所・根拠</t>
  </si>
  <si>
    <t>販売数量成長率</t>
  </si>
  <si>
    <t>%</t>
  </si>
  <si>
    <t>営業計画</t>
  </si>
  <si>
    <t>平均単価上昇率</t>
  </si>
  <si>
    <t>価格改定方針</t>
  </si>
  <si>
    <t>売上総利益率</t>
  </si>
  <si>
    <t>製品構成と原価見通し</t>
  </si>
  <si>
    <t>Baseの主要前提と売上高計算です。</t>
  </si>
  <si>
    <t>項目</t>
  </si>
  <si>
    <t>2025年度実績</t>
  </si>
  <si>
    <t>2026年度予測</t>
  </si>
  <si>
    <t>計算式</t>
  </si>
  <si>
    <t>売上高</t>
  </si>
  <si>
    <t>数量成長 × 単価上昇</t>
  </si>
  <si>
    <t>Upsideの主要前提と売上高計算です。</t>
  </si>
  <si>
    <t>Downsideの主要前提と売上高計算です。</t>
  </si>
  <si>
    <t>チェック</t>
  </si>
  <si>
    <t>シナリオ間の方向性と入力漏れを確認します。</t>
  </si>
  <si>
    <t>チェック項目</t>
  </si>
  <si>
    <t>計算結果</t>
  </si>
  <si>
    <t>判定</t>
  </si>
  <si>
    <t>売上高の方向性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</si>
</sst>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5" x14ac:knownFonts="1">
    <font>
      <color theme="1"/>
      <family val="2"/>
      <scheme val="minor"/>
      <sz val="11"/>
      <name val="Calibri"/>
    </font>
    <font>
      <b/>
      <color rgb="FFFFFFFF"/>
      <sz val="16"/>
      <name val="Yu Gothic"/>
    </font>
    <font>
      <color rgb="FF147D73"/>
      <name val="Yu Gothic"/>
    </font>
    <font>
      <b/>
      <color rgb="FFFFFFFF"/>
      <name val="Yu Gothic"/>
    </font>
    <font>
      <sz val="10"/>
      <name val="Yu Gothic"/>
    </font>
  </fonts>
  <fills count="6">
    <fill>
      <patternFill patternType="none"/>
    </fill>
    <fill>
      <patternFill patternType="gray125"/>
    </fill>
    <fill>
      <patternFill patternType="solid">
        <fgColor rgb="FF102235"/>
      </patternFill>
    </fill>
    <fill>
      <patternFill patternType="solid">
        <fgColor rgb="FF147D73"/>
      </patternFill>
    </fill>
    <fill>
      <patternFill patternType="solid">
        <fgColor rgb="FFE7F0FF"/>
      </patternFill>
    </fill>
    <fill>
      <patternFill patternType="solid">
        <fgColor rgb="FFE9F6E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E0E5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3" borderId="0" xfId="0" applyFont="1" applyFill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4" spans="1:4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4">
        <v>1</v>
      </c>
      <c r="B5" s="4" t="s">
        <v>6</v>
      </c>
      <c r="C5" s="4" t="s">
        <v>7</v>
      </c>
      <c r="D5" s="4" t="s">
        <v>8</v>
      </c>
    </row>
    <row r="6" spans="1:4" x14ac:dyDescent="0.25">
      <c r="A6" s="4">
        <v>2</v>
      </c>
      <c r="B6" s="4" t="s">
        <v>9</v>
      </c>
      <c r="C6" s="4" t="s">
        <v>10</v>
      </c>
      <c r="D6" s="4" t="s">
        <v>11</v>
      </c>
    </row>
    <row r="7" spans="1:4" x14ac:dyDescent="0.25">
      <c r="A7" s="4">
        <v>3</v>
      </c>
      <c r="B7" s="4" t="s">
        <v>12</v>
      </c>
      <c r="C7" s="4" t="s">
        <v>13</v>
      </c>
      <c r="D7" s="4" t="s">
        <v>14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15</v>
      </c>
      <c r="B1" s="1"/>
      <c r="C1" s="1"/>
      <c r="D1" s="1"/>
      <c r="E1" s="1"/>
      <c r="F1" s="1"/>
    </row>
    <row r="2" spans="1:6" x14ac:dyDescent="0.25">
      <c r="A2" s="2" t="s">
        <v>16</v>
      </c>
      <c r="B2" s="2"/>
      <c r="C2" s="2"/>
      <c r="D2" s="2"/>
      <c r="E2" s="2"/>
      <c r="F2" s="2"/>
    </row>
    <row r="4" spans="1:6" x14ac:dyDescent="0.25">
      <c r="A4" s="3" t="s">
        <v>17</v>
      </c>
      <c r="B4" s="3" t="s">
        <v>18</v>
      </c>
      <c r="C4" s="3" t="s">
        <v>19</v>
      </c>
      <c r="D4" s="3" t="s">
        <v>20</v>
      </c>
      <c r="E4" s="3" t="s">
        <v>21</v>
      </c>
      <c r="F4" s="3" t="s">
        <v>22</v>
      </c>
    </row>
    <row r="5" spans="1:6" x14ac:dyDescent="0.25">
      <c r="A5" s="4" t="s">
        <v>23</v>
      </c>
      <c r="B5" s="5">
        <v>0.05</v>
      </c>
      <c r="C5" s="5">
        <v>0.08</v>
      </c>
      <c r="D5" s="5">
        <v>0.01</v>
      </c>
      <c r="E5" s="4" t="s">
        <v>24</v>
      </c>
      <c r="F5" s="4" t="s">
        <v>25</v>
      </c>
    </row>
    <row r="6" spans="1:6" x14ac:dyDescent="0.25">
      <c r="A6" s="4" t="s">
        <v>26</v>
      </c>
      <c r="B6" s="5">
        <v>0.02</v>
      </c>
      <c r="C6" s="5">
        <v>0.03</v>
      </c>
      <c r="D6" s="5">
        <v>0</v>
      </c>
      <c r="E6" s="4" t="s">
        <v>24</v>
      </c>
      <c r="F6" s="4" t="s">
        <v>27</v>
      </c>
    </row>
    <row r="7" spans="1:6" x14ac:dyDescent="0.25">
      <c r="A7" s="4" t="s">
        <v>28</v>
      </c>
      <c r="B7" s="5">
        <v>0.35</v>
      </c>
      <c r="C7" s="5">
        <v>0.38</v>
      </c>
      <c r="D7" s="5">
        <v>0.31</v>
      </c>
      <c r="E7" s="4" t="s">
        <v>24</v>
      </c>
      <c r="F7" s="4" t="s">
        <v>29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18</v>
      </c>
      <c r="B1" s="1"/>
      <c r="C1" s="1"/>
      <c r="D1" s="1"/>
      <c r="E1" s="1"/>
      <c r="F1" s="1"/>
    </row>
    <row r="2" spans="1:6" x14ac:dyDescent="0.25">
      <c r="A2" s="2" t="s">
        <v>30</v>
      </c>
      <c r="B2" s="2"/>
      <c r="C2" s="2"/>
      <c r="D2" s="2"/>
      <c r="E2" s="2"/>
      <c r="F2" s="2"/>
    </row>
    <row r="4" spans="1:4" x14ac:dyDescent="0.25">
      <c r="A4" s="3" t="s">
        <v>31</v>
      </c>
      <c r="B4" s="3" t="s">
        <v>32</v>
      </c>
      <c r="C4" s="3" t="s">
        <v>33</v>
      </c>
      <c r="D4" s="3" t="s">
        <v>34</v>
      </c>
    </row>
    <row r="5" spans="1:4" x14ac:dyDescent="0.25">
      <c r="A5" t="s">
        <v>35</v>
      </c>
      <c r="B5">
        <v>1000</v>
      </c>
      <c r="C5" s="6">
        <f>B5*(1+前提!B5)*(1+前提!B6)</f>
        <v>1071</v>
      </c>
      <c r="D5" t="s">
        <v>36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19</v>
      </c>
      <c r="B1" s="1"/>
      <c r="C1" s="1"/>
      <c r="D1" s="1"/>
      <c r="E1" s="1"/>
      <c r="F1" s="1"/>
    </row>
    <row r="2" spans="1:6" x14ac:dyDescent="0.25">
      <c r="A2" s="2" t="s">
        <v>37</v>
      </c>
      <c r="B2" s="2"/>
      <c r="C2" s="2"/>
      <c r="D2" s="2"/>
      <c r="E2" s="2"/>
      <c r="F2" s="2"/>
    </row>
    <row r="4" spans="1:4" x14ac:dyDescent="0.25">
      <c r="A4" s="3" t="s">
        <v>31</v>
      </c>
      <c r="B4" s="3" t="s">
        <v>32</v>
      </c>
      <c r="C4" s="3" t="s">
        <v>33</v>
      </c>
      <c r="D4" s="3" t="s">
        <v>34</v>
      </c>
    </row>
    <row r="5" spans="1:4" x14ac:dyDescent="0.25">
      <c r="A5" t="s">
        <v>35</v>
      </c>
      <c r="B5">
        <v>1000</v>
      </c>
      <c r="C5" s="6">
        <f>B5*(1+前提!C5)*(1+前提!C6)</f>
        <v>1112.4</v>
      </c>
      <c r="D5" t="s">
        <v>36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20</v>
      </c>
      <c r="B1" s="1"/>
      <c r="C1" s="1"/>
      <c r="D1" s="1"/>
      <c r="E1" s="1"/>
      <c r="F1" s="1"/>
    </row>
    <row r="2" spans="1:6" x14ac:dyDescent="0.25">
      <c r="A2" s="2" t="s">
        <v>38</v>
      </c>
      <c r="B2" s="2"/>
      <c r="C2" s="2"/>
      <c r="D2" s="2"/>
      <c r="E2" s="2"/>
      <c r="F2" s="2"/>
    </row>
    <row r="4" spans="1:4" x14ac:dyDescent="0.25">
      <c r="A4" s="3" t="s">
        <v>31</v>
      </c>
      <c r="B4" s="3" t="s">
        <v>32</v>
      </c>
      <c r="C4" s="3" t="s">
        <v>33</v>
      </c>
      <c r="D4" s="3" t="s">
        <v>34</v>
      </c>
    </row>
    <row r="5" spans="1:4" x14ac:dyDescent="0.25">
      <c r="A5" t="s">
        <v>35</v>
      </c>
      <c r="B5">
        <v>1000</v>
      </c>
      <c r="C5" s="6">
        <f>B5*(1+前提!D5)*(1+前提!D6)</f>
        <v>1010</v>
      </c>
      <c r="D5" t="s">
        <v>36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39</v>
      </c>
      <c r="B1" s="1"/>
      <c r="C1" s="1"/>
      <c r="D1" s="1"/>
      <c r="E1" s="1"/>
      <c r="F1" s="1"/>
    </row>
    <row r="2" spans="1:6" x14ac:dyDescent="0.25">
      <c r="A2" s="2" t="s">
        <v>40</v>
      </c>
      <c r="B2" s="2"/>
      <c r="C2" s="2"/>
      <c r="D2" s="2"/>
      <c r="E2" s="2"/>
      <c r="F2" s="2"/>
    </row>
    <row r="4" spans="1:3" x14ac:dyDescent="0.25">
      <c r="A4" s="3" t="s">
        <v>41</v>
      </c>
      <c r="B4" s="3" t="s">
        <v>42</v>
      </c>
      <c r="C4" s="3" t="s">
        <v>43</v>
      </c>
    </row>
    <row r="5" spans="1:3" x14ac:dyDescent="0.25">
      <c r="A5" t="s">
        <v>44</v>
      </c>
      <c r="B5" t="str">
        <f>Upside!C5&gt;Base!C5</f>
        <v>TRUE</v>
      </c>
      <c r="C5" s="6" t="str">
        <f>IF(AND(Upside!C5&gt;Base!C5,Base!C5&gt;Downside!C5),"適合","要確認")</f>
        <v>適合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使い方</vt:lpstr>
      <vt:lpstr>前提</vt:lpstr>
      <vt:lpstr>Base</vt:lpstr>
      <vt:lpstr>Upside</vt:lpstr>
      <vt:lpstr>Downside</vt:lpstr>
      <vt:lpstr>チェック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Modeling Lab 編集部</dc:creator>
  <dc:title/>
  <dc:subject/>
  <dc:description/>
  <cp:keywords/>
  <cp:category/>
  <cp:lastModifiedBy>Unknown</cp:lastModifiedBy>
  <dcterms:created xsi:type="dcterms:W3CDTF">2026-07-22T00:00:00Z</dcterms:created>
  <dcterms:modified xsi:type="dcterms:W3CDTF">2026-07-22T00:00:00Z</dcterms:modified>
</cp:coreProperties>
</file>