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使い方" state="visible" r:id="rId4"/>
    <sheet sheetId="2" name="対象会社の事業特性" state="visible" r:id="rId5"/>
    <sheet sheetId="3" name="比較候補会社一覧" state="visible" r:id="rId6"/>
    <sheet sheetId="4" name="比較会社選定表" state="visible" r:id="rId7"/>
    <sheet sheetId="5" name="比較上の位置づけ" state="visible" r:id="rId8"/>
    <sheet sheetId="6" name="検討記録" state="visible" r:id="rId9"/>
    <sheet sheetId="7" name="チェック" state="visible" r:id="rId10"/>
  </sheets>
  <calcPr calcId="171027" fullCalcOnLoad="1"/>
</workbook>
</file>

<file path=xl/comments4.xml><?xml version="1.0" encoding="utf-8"?>
<comments xmlns="http://schemas.openxmlformats.org/spreadsheetml/2006/main">
  <authors>
    <author>Author</author>
  </authors>
  <commentList>
    <comment ref="U4" authorId="0">
      <text>
        <r>
          <t>重大基準（データ定義）: businessModel, productMix, customerMarket, capitalIntensity / 低スコア数: 0</t>
        </r>
      </text>
    </comment>
    <comment ref="U5" authorId="0">
      <text>
        <r>
          <t>重大基準（データ定義）: businessModel, productMix, customerMarket, capitalIntensity / 低スコア数: 0</t>
        </r>
      </text>
    </comment>
    <comment ref="U6" authorId="0">
      <text>
        <r>
          <t>重大基準（データ定義）: businessModel, productMix, customerMarket, capitalIntensity / 低スコア数: 0</t>
        </r>
      </text>
    </comment>
    <comment ref="U7" authorId="0">
      <text>
        <r>
          <t>重大基準（データ定義）: businessModel, productMix, customerMarket, capitalIntensity / 低スコア数: 0</t>
        </r>
      </text>
    </comment>
    <comment ref="U8" authorId="0">
      <text>
        <r>
          <t>重大基準（データ定義）: businessModel, productMix, customerMarket, capitalIntensity / 低スコア数: 0</t>
        </r>
      </text>
    </comment>
    <comment ref="U9" authorId="0">
      <text>
        <r>
          <t>重大基準（データ定義）: businessModel, productMix, customerMarket, capitalIntensity / 低スコア数: 0</t>
        </r>
      </text>
    </comment>
    <comment ref="U10" authorId="0">
      <text>
        <r>
          <t>重大基準（データ定義）: businessModel, productMix, customerMarket, capitalIntensity / 低スコア数: 0</t>
        </r>
      </text>
    </comment>
    <comment ref="U11" authorId="0">
      <text>
        <r>
          <t>重大基準（データ定義）: businessModel, productMix, customerMarket, capitalIntensity / 低スコア数: 2</t>
        </r>
      </text>
    </comment>
    <comment ref="U12" authorId="0">
      <text>
        <r>
          <t>重大基準（データ定義）: businessModel, productMix, customerMarket, capitalIntensity / 低スコア数: 4</t>
        </r>
      </text>
    </comment>
    <comment ref="U13" authorId="0">
      <text>
        <r>
          <t>重大基準（データ定義）: businessModel, productMix, customerMarket, capitalIntensity / 低スコア数: 0</t>
        </r>
      </text>
    </comment>
    <comment ref="U14" authorId="0">
      <text>
        <r>
          <t>重大基準（データ定義）: businessModel, productMix, customerMarket, capitalIntensity / 低スコア数: 4</t>
        </r>
      </text>
    </comment>
    <comment ref="U15" authorId="0">
      <text>
        <r>
          <t>重大基準（データ定義）: businessModel, productMix, customerMarket, capitalIntensity / 低スコア数: 2</t>
        </r>
      </text>
    </comment>
  </commentList>
</comments>
</file>

<file path=xl/sharedStrings.xml><?xml version="1.0" encoding="utf-8"?>
<sst xmlns="http://schemas.openxmlformats.org/spreadsheetml/2006/main" count="397" uniqueCount="189">
  <si>
    <t>類似会社選定ワークシート</t>
  </si>
  <si>
    <t>類似上場会社の選定根拠を、一貫した手順で記録する教育用ワークブックです。</t>
  </si>
  <si>
    <t>手順</t>
  </si>
  <si>
    <t>作業</t>
  </si>
  <si>
    <t>確認すること</t>
  </si>
  <si>
    <t>出力</t>
  </si>
  <si>
    <t>1</t>
  </si>
  <si>
    <t>対象会社の事業特性を確認</t>
  </si>
  <si>
    <t>対象会社の規模、収益性、製品・サービス構成を把握する</t>
  </si>
  <si>
    <t>比較可能性の前提</t>
  </si>
  <si>
    <t>2</t>
  </si>
  <si>
    <t>比較候補会社一覧を確認</t>
  </si>
  <si>
    <t>候補の情報源と基準日を記録し、母集団を広げる</t>
  </si>
  <si>
    <t>候補12社</t>
  </si>
  <si>
    <t>3</t>
  </si>
  <si>
    <t>比較会社選定表を採点</t>
  </si>
  <si>
    <t>12の評価軸を0〜3点で採点し、重大基準の不一致を確認する</t>
  </si>
  <si>
    <t>総合スコア</t>
  </si>
  <si>
    <t>4</t>
  </si>
  <si>
    <t>比較上の位置づけを分類</t>
  </si>
  <si>
    <t>各候補を比較上の位置づけに分類し、根拠と追加調査事項を残す</t>
  </si>
  <si>
    <t>主要比較会社候補</t>
  </si>
  <si>
    <t>5</t>
  </si>
  <si>
    <t>検討記録とチェックを確認</t>
  </si>
  <si>
    <t>位置づけ別の一覧、除外理由、未入力項目、データ欠損をレビューする</t>
  </si>
  <si>
    <t>レビュー記録</t>
  </si>
  <si>
    <t>比較上の位置づけの定義</t>
  </si>
  <si>
    <t>主要比較会社</t>
  </si>
  <si>
    <t>主要比較会社として扱う根拠を記録します</t>
  </si>
  <si>
    <t>補完比較会社</t>
  </si>
  <si>
    <t>補完比較会社として扱う根拠を記録します</t>
  </si>
  <si>
    <t>目標比較会社</t>
  </si>
  <si>
    <t>目標比較会社として扱う根拠を記録します</t>
  </si>
  <si>
    <t>非比較会社</t>
  </si>
  <si>
    <t>非比較会社として扱う根拠を記録します</t>
  </si>
  <si>
    <t>類似するが除外した会社</t>
  </si>
  <si>
    <t>類似するが除外した会社として扱う根拠を記録します</t>
  </si>
  <si>
    <t>純粋比較会社ではない会社</t>
  </si>
  <si>
    <t>純粋比較会社ではない会社として扱う根拠を記録します</t>
  </si>
  <si>
    <t>対象会社の事業特性</t>
  </si>
  <si>
    <t>比較対象の基準となる対象会社のプロファイル。青色セルは確認・更新対象です。</t>
  </si>
  <si>
    <t>項目</t>
  </si>
  <si>
    <t>対象会社</t>
  </si>
  <si>
    <t>比較時の見方</t>
  </si>
  <si>
    <t>売上高（百万円）</t>
  </si>
  <si>
    <t>規模が近いか</t>
  </si>
  <si>
    <t>EBITDAマージン</t>
  </si>
  <si>
    <t>収益性が近いか</t>
  </si>
  <si>
    <t>海外売上比率</t>
  </si>
  <si>
    <t>地域・顧客構成が近いか</t>
  </si>
  <si>
    <t>装置売上比率</t>
  </si>
  <si>
    <t>製品とサービスの構成が近いか</t>
  </si>
  <si>
    <t>サービス売上比率</t>
  </si>
  <si>
    <t>会社名</t>
  </si>
  <si>
    <t>モデル製作株式会社</t>
  </si>
  <si>
    <t>対象会社の識別</t>
  </si>
  <si>
    <t>事業内容</t>
  </si>
  <si>
    <t>製造業向け自動化装置・部品および保守サービス</t>
  </si>
  <si>
    <t>収益モデルと製品ミックス</t>
  </si>
  <si>
    <t>顧客市場</t>
  </si>
  <si>
    <t>国内外の電子部品・一般製造業</t>
  </si>
  <si>
    <t>顧客・最終市場の近さ</t>
  </si>
  <si>
    <t>資本集約度</t>
  </si>
  <si>
    <t>中程度</t>
  </si>
  <si>
    <t>設備投資と固定費構造</t>
  </si>
  <si>
    <t>循環性</t>
  </si>
  <si>
    <t>製造業設備投資に連動する中程度</t>
  </si>
  <si>
    <t>景気感応度と需要変動</t>
  </si>
  <si>
    <t>比較候補会社一覧</t>
  </si>
  <si>
    <t>候補企業の母集団。情報源と基準日を明記し、除外前の観察を残します。</t>
  </si>
  <si>
    <t>ID</t>
  </si>
  <si>
    <t>候補企業</t>
  </si>
  <si>
    <t>地域</t>
  </si>
  <si>
    <t>成長率</t>
  </si>
  <si>
    <t>サービス比率</t>
  </si>
  <si>
    <t>情報源</t>
  </si>
  <si>
    <t>基準日</t>
  </si>
  <si>
    <t>一次コメント</t>
  </si>
  <si>
    <t>takumi</t>
  </si>
  <si>
    <t>匠オートメーション</t>
  </si>
  <si>
    <t>自動化装置・保守</t>
  </si>
  <si>
    <t>日本</t>
  </si>
  <si>
    <t>教育用ケースデータ</t>
  </si>
  <si>
    <t>自動化装置と保守の事業構成が近く、売上規模、利益率、製造業顧客もケース企業と整合する。</t>
  </si>
  <si>
    <t>shinsei</t>
  </si>
  <si>
    <t>新生精密システム</t>
  </si>
  <si>
    <t>電子部品向け精密装置・保守</t>
  </si>
  <si>
    <t>電子部品向け装置と保守の構成が近く、顧客市場、利益率、資本集約度も比較可能な水準にある。</t>
  </si>
  <si>
    <t>tokai</t>
  </si>
  <si>
    <t>東海ファクトリー機器</t>
  </si>
  <si>
    <t>工場向け生産設備</t>
  </si>
  <si>
    <t>国内製造業向けの生産設備を主力とし、売上規模と資本集約度が近く、利益率も許容範囲にある。</t>
  </si>
  <si>
    <t>mirai</t>
  </si>
  <si>
    <t>未来プロセス装置</t>
  </si>
  <si>
    <t>産業プロセス装置・部品</t>
  </si>
  <si>
    <t>産業装置が主力で、売上規模、成長率、利益率が近い。顧客も設備投資を行う製造業で循環性が整合する。</t>
  </si>
  <si>
    <t>nippon</t>
  </si>
  <si>
    <t>日本モーション技研</t>
  </si>
  <si>
    <t>モーション制御装置・部品</t>
  </si>
  <si>
    <t>装置・部品の売上ミックスと製造業顧客が近く、設備投資循環性、利益率、資本集約度も整合している。</t>
  </si>
  <si>
    <t>kyowa</t>
  </si>
  <si>
    <t>協和製造ソリューション</t>
  </si>
  <si>
    <t>製造ライン自動化装置</t>
  </si>
  <si>
    <t>売上規模、顧客、地域がケース企業に近く、装置中心の事業構成と利益率も比較目的に適している。</t>
  </si>
  <si>
    <t>global</t>
  </si>
  <si>
    <t>グローバル産業ロボティクス</t>
  </si>
  <si>
    <t>産業ロボット・自動化装置</t>
  </si>
  <si>
    <t>グローバル</t>
  </si>
  <si>
    <t>自動化装置の事業と製造業顧客は近い一方、海外売上比率、規模、利益率が大きく異なり補完的な比較にとどめる。</t>
  </si>
  <si>
    <t>service</t>
  </si>
  <si>
    <t>サービスリンク工業</t>
  </si>
  <si>
    <t>産業装置保守・改修</t>
  </si>
  <si>
    <t>製造業顧客は近いが、保守比率と利益率が高く資本集約度も低い。サービス拡大後の将来像として参照する。</t>
  </si>
  <si>
    <t>heavy</t>
  </si>
  <si>
    <t>大和重機械</t>
  </si>
  <si>
    <t>大型重機・建設機械</t>
  </si>
  <si>
    <t>同じ機械分類でも大型受注と建設顧客が中心で、事業構成、資本集約度、循環性がケース企業と大きく異なる。</t>
  </si>
  <si>
    <t>close</t>
  </si>
  <si>
    <t>中央FAテクノロジー</t>
  </si>
  <si>
    <t>FA装置・部品</t>
  </si>
  <si>
    <t>該当なし</t>
  </si>
  <si>
    <t>事業構成、顧客、売上規模は非常に近いが、EBITDA情報が取得不能で利益率比較と倍率検証に使えない。</t>
  </si>
  <si>
    <t>group</t>
  </si>
  <si>
    <t>統合エンジニアリングHD</t>
  </si>
  <si>
    <t>複合エンジニアリング</t>
  </si>
  <si>
    <t>日本・海外</t>
  </si>
  <si>
    <t>対象に近い装置事業を含むが、複合企業で対象セグメントが小さい。事業構成、顧客、利益率を純粋に比較できない。</t>
  </si>
  <si>
    <t>turnaround</t>
  </si>
  <si>
    <t>再生機工</t>
  </si>
  <si>
    <t>産業機械製造</t>
  </si>
  <si>
    <t>製造業顧客と産業機械の点は近いが、経営再建中で利益率、成長率、レバレッジが正常な比較水準にない。</t>
  </si>
  <si>
    <t>比較会社選定表</t>
  </si>
  <si>
    <t>0〜3点で採点。重大基準の不一致、データ欠損、主要適格性ブロックを分けて記録します。</t>
  </si>
  <si>
    <t>比較上の位置づけ</t>
  </si>
  <si>
    <t>事業モデル</t>
  </si>
  <si>
    <t>製品ミックス</t>
  </si>
  <si>
    <t>規模</t>
  </si>
  <si>
    <t>利益率</t>
  </si>
  <si>
    <t>レバレッジ</t>
  </si>
  <si>
    <t>会計方針</t>
  </si>
  <si>
    <t>流動性</t>
  </si>
  <si>
    <t>重大基準の不一致</t>
  </si>
  <si>
    <t>データ欠損</t>
  </si>
  <si>
    <t>主要比較会社への採用不可</t>
  </si>
  <si>
    <t>位置づけ（元データ）</t>
  </si>
  <si>
    <t>重大基準の低スコア</t>
  </si>
  <si>
    <t>コメント</t>
  </si>
  <si>
    <t/>
  </si>
  <si>
    <t>margin, liquidity</t>
  </si>
  <si>
    <t>位置づけと根拠に加え、重大不一致、データ欠損、主要比較会社への採用可否を独立して確認します。</t>
  </si>
  <si>
    <t>採用・除外の根拠</t>
  </si>
  <si>
    <t>追加調査事項</t>
  </si>
  <si>
    <t>データ利用可否</t>
  </si>
  <si>
    <t>なし</t>
  </si>
  <si>
    <t>利用可</t>
  </si>
  <si>
    <t>margin, liquidityの確認</t>
  </si>
  <si>
    <t>一部未確認</t>
  </si>
  <si>
    <t>検討記録</t>
  </si>
  <si>
    <t>位置づけ別の候補一覧と、採用レンジ・除外理由をレビュー用に要約します。</t>
  </si>
  <si>
    <t>レビュー項目</t>
  </si>
  <si>
    <t>結果</t>
  </si>
  <si>
    <t>確認事項</t>
  </si>
  <si>
    <t>メモ</t>
  </si>
  <si>
    <t>主要比較会社数</t>
  </si>
  <si>
    <t>中心レンジとして十分な数か</t>
  </si>
  <si>
    <t>名称と位置づけを確認</t>
  </si>
  <si>
    <t>補完比較会社候補</t>
  </si>
  <si>
    <t>補助的に参照する範囲</t>
  </si>
  <si>
    <t>除外・非純粋比較会社</t>
  </si>
  <si>
    <t>除外理由を説明可能にする</t>
  </si>
  <si>
    <t>データ未確認数</t>
  </si>
  <si>
    <t>必要な追加確認を実施</t>
  </si>
  <si>
    <t>レビュー結論</t>
  </si>
  <si>
    <t>主要比較会社を中心にレンジを検討。重大基準の不一致とデータ未確認を再確認する。</t>
  </si>
  <si>
    <t>最終採用レンジを別途記録</t>
  </si>
  <si>
    <t>チェック</t>
  </si>
  <si>
    <t>入力漏れ、データ欠損、主要比較会社数、候補数を数式で確認します。</t>
  </si>
  <si>
    <t>判定基準</t>
  </si>
  <si>
    <t>位置づけ未入力</t>
  </si>
  <si>
    <t>0であること</t>
  </si>
  <si>
    <t>理由未入力</t>
  </si>
  <si>
    <t>ID重複</t>
  </si>
  <si>
    <t>主要比較会社・重大不一致</t>
  </si>
  <si>
    <t>主要比較会社・データ欠損</t>
  </si>
  <si>
    <t>5〜8社を目安</t>
  </si>
  <si>
    <t>候補社数</t>
  </si>
  <si>
    <t>12社であること</t>
  </si>
  <si>
    <t>外部リンク</t>
  </si>
  <si>
    <t>教育用ケースデータのみを使用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</si>
</sst>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Yu Gothic"/>
    </font>
    <font>
      <i/>
      <color rgb="FF147D73"/>
      <name val="Yu Gothic"/>
    </font>
    <font>
      <b/>
      <color rgb="FFFFFFFF"/>
      <name val="Yu Gothic"/>
    </font>
    <font>
      <sz val="10"/>
      <name val="Yu Gothic"/>
    </font>
    <font>
      <b/>
      <color rgb="FF102235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102235"/>
      </patternFill>
    </fill>
    <fill>
      <patternFill patternType="solid">
        <fgColor rgb="FF147D73"/>
      </patternFill>
    </fill>
    <fill>
      <patternFill patternType="solid">
        <fgColor rgb="FFE7F0FF"/>
      </patternFill>
    </fill>
    <fill>
      <patternFill patternType="solid">
        <fgColor rgb="FFE9F6EF"/>
      </patternFill>
    </fill>
  </fills>
  <borders count="2">
    <border>
      <left/>
      <right/>
      <top/>
      <bottom/>
      <diagonal/>
    </border>
    <border>
      <left style="thin">
        <color rgb="FFD8E0E5"/>
      </left>
      <right style="thin">
        <color rgb="FFD8E0E5"/>
      </right>
      <top style="thin">
        <color rgb="FFD8E0E5"/>
      </top>
      <bottom style="thin">
        <color rgb="FFD8E0E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4" fillId="4" borderId="1" xfId="0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1" fontId="4" fillId="5" borderId="1" xfId="0" applyNumberFormat="1" applyFont="1" applyFill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8">
    <dxf>
      <fill>
        <patternFill patternType="solid">
          <fgColor rgb="FFFDECEC"/>
        </patternFill>
      </fill>
    </dxf>
    <dxf>
      <fill>
        <patternFill patternType="solid">
          <fgColor rgb="FFFDECEC"/>
        </patternFill>
      </fill>
    </dxf>
    <dxf>
      <fill>
        <patternFill patternType="solid">
          <fgColor rgb="FFFDECEC"/>
        </patternFill>
      </fill>
    </dxf>
    <dxf>
      <fill>
        <patternFill patternType="solid">
          <fgColor rgb="FFFDECEC"/>
        </patternFill>
      </fill>
    </dxf>
    <dxf>
      <fill>
        <patternFill patternType="solid">
          <fgColor rgb="FFFDECEC"/>
        </patternFill>
      </fill>
    </dxf>
    <dxf>
      <fill>
        <patternFill patternType="solid">
          <fgColor rgb="FFFDECEC"/>
        </patternFill>
      </fill>
    </dxf>
    <dxf>
      <fill>
        <patternFill patternType="solid">
          <fgColor rgb="FFFDECEC"/>
        </patternFill>
      </fill>
    </dxf>
    <dxf>
      <fill>
        <patternFill patternType="solid">
          <fgColor rgb="FF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1" customWidth="1"/>
    <col min="3" max="3" width="53" customWidth="1"/>
    <col min="4" max="4" width="24" customWidth="1"/>
  </cols>
  <sheetData>
    <row r="1" ht="28" customHeight="1" spans="1:4" x14ac:dyDescent="0.25">
      <c r="A1" s="1" t="s">
        <v>0</v>
      </c>
      <c r="B1" s="1"/>
      <c r="C1" s="1"/>
      <c r="D1" s="1"/>
    </row>
    <row r="2" ht="30" customHeight="1" spans="1:4" x14ac:dyDescent="0.25">
      <c r="A2" s="2" t="s">
        <v>1</v>
      </c>
      <c r="B2" s="2"/>
      <c r="C2" s="2"/>
      <c r="D2" s="2"/>
    </row>
    <row r="4" ht="34" customHeight="1" spans="1:4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</row>
    <row r="5" ht="44" customHeight="1" spans="1:4" x14ac:dyDescent="0.25">
      <c r="A5" s="5" t="s">
        <v>6</v>
      </c>
      <c r="B5" s="5" t="s">
        <v>7</v>
      </c>
      <c r="C5" s="5" t="s">
        <v>8</v>
      </c>
      <c r="D5" s="5" t="s">
        <v>9</v>
      </c>
    </row>
    <row r="6" ht="44" customHeight="1" spans="1:4" x14ac:dyDescent="0.25">
      <c r="A6" s="5" t="s">
        <v>10</v>
      </c>
      <c r="B6" s="5" t="s">
        <v>11</v>
      </c>
      <c r="C6" s="5" t="s">
        <v>12</v>
      </c>
      <c r="D6" s="5" t="s">
        <v>13</v>
      </c>
    </row>
    <row r="7" ht="44" customHeight="1" spans="1:4" x14ac:dyDescent="0.25">
      <c r="A7" s="5" t="s">
        <v>14</v>
      </c>
      <c r="B7" s="5" t="s">
        <v>15</v>
      </c>
      <c r="C7" s="5" t="s">
        <v>16</v>
      </c>
      <c r="D7" s="5" t="s">
        <v>17</v>
      </c>
    </row>
    <row r="8" ht="44" customHeight="1" spans="1:4" x14ac:dyDescent="0.25">
      <c r="A8" s="5" t="s">
        <v>18</v>
      </c>
      <c r="B8" s="5" t="s">
        <v>19</v>
      </c>
      <c r="C8" s="5" t="s">
        <v>20</v>
      </c>
      <c r="D8" s="5" t="s">
        <v>21</v>
      </c>
    </row>
    <row r="9" ht="44" customHeight="1" spans="1:4" x14ac:dyDescent="0.25">
      <c r="A9" s="5" t="s">
        <v>22</v>
      </c>
      <c r="B9" s="5" t="s">
        <v>23</v>
      </c>
      <c r="C9" s="5" t="s">
        <v>24</v>
      </c>
      <c r="D9" s="5" t="s">
        <v>25</v>
      </c>
    </row>
    <row r="11" spans="1:1" x14ac:dyDescent="0.25">
      <c r="A11" s="6" t="s">
        <v>26</v>
      </c>
    </row>
    <row r="12" spans="1:2" x14ac:dyDescent="0.25">
      <c r="A12" s="5" t="s">
        <v>27</v>
      </c>
      <c r="B12" s="5" t="s">
        <v>28</v>
      </c>
    </row>
    <row r="13" spans="1:2" x14ac:dyDescent="0.25">
      <c r="A13" s="5" t="s">
        <v>29</v>
      </c>
      <c r="B13" s="5" t="s">
        <v>30</v>
      </c>
    </row>
    <row r="14" spans="1:2" x14ac:dyDescent="0.25">
      <c r="A14" s="5" t="s">
        <v>31</v>
      </c>
      <c r="B14" s="5" t="s">
        <v>32</v>
      </c>
    </row>
    <row r="15" spans="1:2" x14ac:dyDescent="0.25">
      <c r="A15" s="5" t="s">
        <v>33</v>
      </c>
      <c r="B15" s="5" t="s">
        <v>34</v>
      </c>
    </row>
    <row r="16" spans="1:2" x14ac:dyDescent="0.25">
      <c r="A16" s="5" t="s">
        <v>35</v>
      </c>
      <c r="B16" s="5" t="s">
        <v>36</v>
      </c>
    </row>
    <row r="17" spans="1:2" x14ac:dyDescent="0.25">
      <c r="A17" s="5" t="s">
        <v>37</v>
      </c>
      <c r="B17" s="5" t="s">
        <v>38</v>
      </c>
    </row>
  </sheetData>
  <autoFilter ref="A4:D9"/>
  <mergeCells count="2">
    <mergeCell ref="A1:D1"/>
    <mergeCell ref="A2:D2"/>
  </mergeCells>
  <pageMargins left="0.25" right="0.25" top="0.5" bottom="0.5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2" customWidth="1"/>
    <col min="3" max="3" width="34" customWidth="1"/>
  </cols>
  <sheetData>
    <row r="1" ht="28" customHeight="1" spans="1:3" x14ac:dyDescent="0.25">
      <c r="A1" s="1" t="s">
        <v>39</v>
      </c>
      <c r="B1" s="1"/>
      <c r="C1" s="1"/>
    </row>
    <row r="2" ht="30" customHeight="1" spans="1:3" x14ac:dyDescent="0.25">
      <c r="A2" s="2" t="s">
        <v>40</v>
      </c>
      <c r="B2" s="2"/>
      <c r="C2" s="2"/>
    </row>
    <row r="3" ht="34" customHeight="1" spans="1:3" s="3" customFormat="1" x14ac:dyDescent="0.25">
      <c r="A3" s="4" t="s">
        <v>41</v>
      </c>
      <c r="B3" s="4" t="s">
        <v>42</v>
      </c>
      <c r="C3" s="4" t="s">
        <v>43</v>
      </c>
    </row>
    <row r="4" spans="1:3" x14ac:dyDescent="0.25">
      <c r="A4" s="5" t="s">
        <v>44</v>
      </c>
      <c r="B4" s="7">
        <v>1100</v>
      </c>
      <c r="C4" s="5" t="s">
        <v>45</v>
      </c>
    </row>
    <row r="5" spans="1:3" x14ac:dyDescent="0.25">
      <c r="A5" s="5" t="s">
        <v>46</v>
      </c>
      <c r="B5" s="8">
        <v>0.16399999999999998</v>
      </c>
      <c r="C5" s="5" t="s">
        <v>47</v>
      </c>
    </row>
    <row r="6" spans="1:3" x14ac:dyDescent="0.25">
      <c r="A6" s="5" t="s">
        <v>48</v>
      </c>
      <c r="B6" s="8">
        <v>0.25</v>
      </c>
      <c r="C6" s="5" t="s">
        <v>49</v>
      </c>
    </row>
    <row r="7" spans="1:3" x14ac:dyDescent="0.25">
      <c r="A7" s="5" t="s">
        <v>50</v>
      </c>
      <c r="B7" s="8">
        <v>0.7</v>
      </c>
      <c r="C7" s="5" t="s">
        <v>51</v>
      </c>
    </row>
    <row r="8" spans="1:3" x14ac:dyDescent="0.25">
      <c r="A8" s="5" t="s">
        <v>52</v>
      </c>
      <c r="B8" s="8">
        <v>0.3</v>
      </c>
      <c r="C8" s="5" t="s">
        <v>51</v>
      </c>
    </row>
    <row r="9" spans="1:3" x14ac:dyDescent="0.25">
      <c r="A9" s="5" t="s">
        <v>53</v>
      </c>
      <c r="B9" s="7" t="s">
        <v>54</v>
      </c>
      <c r="C9" s="5" t="s">
        <v>55</v>
      </c>
    </row>
    <row r="10" ht="42" customHeight="1" spans="1:3" x14ac:dyDescent="0.25">
      <c r="A10" s="5" t="s">
        <v>56</v>
      </c>
      <c r="B10" s="7" t="s">
        <v>57</v>
      </c>
      <c r="C10" s="5" t="s">
        <v>58</v>
      </c>
    </row>
    <row r="11" ht="36" customHeight="1" spans="1:3" x14ac:dyDescent="0.25">
      <c r="A11" s="5" t="s">
        <v>59</v>
      </c>
      <c r="B11" s="7" t="s">
        <v>60</v>
      </c>
      <c r="C11" s="5" t="s">
        <v>61</v>
      </c>
    </row>
    <row r="12" spans="1:3" x14ac:dyDescent="0.25">
      <c r="A12" s="5" t="s">
        <v>62</v>
      </c>
      <c r="B12" s="7" t="s">
        <v>63</v>
      </c>
      <c r="C12" s="5" t="s">
        <v>64</v>
      </c>
    </row>
    <row r="13" spans="1:3" x14ac:dyDescent="0.25">
      <c r="A13" s="5" t="s">
        <v>65</v>
      </c>
      <c r="B13" s="7" t="s">
        <v>66</v>
      </c>
      <c r="C13" s="5" t="s">
        <v>67</v>
      </c>
    </row>
  </sheetData>
  <autoFilter ref="A3:C13"/>
  <mergeCells count="2">
    <mergeCell ref="A1:C1"/>
    <mergeCell ref="A2:C2"/>
  </mergeCells>
  <pageMargins left="0.25" right="0.25" top="0.5" bottom="0.5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5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31" customWidth="1"/>
    <col min="4" max="4" width="15" customWidth="1"/>
    <col min="5" max="5" width="16" customWidth="1"/>
    <col min="6" max="6" width="12" customWidth="1"/>
    <col min="7" max="7" width="17" customWidth="1"/>
    <col min="8" max="8" width="14" customWidth="1"/>
    <col min="9" max="9" width="20" customWidth="1"/>
    <col min="10" max="10" width="14" customWidth="1"/>
    <col min="11" max="11" width="58" customWidth="1"/>
  </cols>
  <sheetData>
    <row r="1" ht="28" customHeight="1" spans="1:11" x14ac:dyDescent="0.25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0" customHeight="1" spans="1:11" x14ac:dyDescent="0.25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4" customHeight="1" spans="1:11" s="3" customFormat="1" x14ac:dyDescent="0.25">
      <c r="A3" s="4" t="s">
        <v>70</v>
      </c>
      <c r="B3" s="4" t="s">
        <v>71</v>
      </c>
      <c r="C3" s="4" t="s">
        <v>56</v>
      </c>
      <c r="D3" s="4" t="s">
        <v>72</v>
      </c>
      <c r="E3" s="4" t="s">
        <v>44</v>
      </c>
      <c r="F3" s="4" t="s">
        <v>73</v>
      </c>
      <c r="G3" s="4" t="s">
        <v>46</v>
      </c>
      <c r="H3" s="4" t="s">
        <v>74</v>
      </c>
      <c r="I3" s="4" t="s">
        <v>75</v>
      </c>
      <c r="J3" s="4" t="s">
        <v>76</v>
      </c>
      <c r="K3" s="4" t="s">
        <v>77</v>
      </c>
    </row>
    <row r="4" ht="62" customHeight="1" spans="1:11" x14ac:dyDescent="0.25">
      <c r="A4" s="5" t="s">
        <v>78</v>
      </c>
      <c r="B4" s="5" t="s">
        <v>79</v>
      </c>
      <c r="C4" s="5" t="s">
        <v>80</v>
      </c>
      <c r="D4" s="5" t="s">
        <v>81</v>
      </c>
      <c r="E4" s="5">
        <v>1180</v>
      </c>
      <c r="F4" s="9">
        <v>0.07</v>
      </c>
      <c r="G4" s="9">
        <v>0.168</v>
      </c>
      <c r="H4" s="9">
        <v>0.28</v>
      </c>
      <c r="I4" s="5" t="s">
        <v>82</v>
      </c>
      <c r="J4" s="10">
        <v>46222.625</v>
      </c>
      <c r="K4" s="5" t="s">
        <v>83</v>
      </c>
    </row>
    <row r="5" ht="62" customHeight="1" spans="1:11" x14ac:dyDescent="0.25">
      <c r="A5" s="5" t="s">
        <v>84</v>
      </c>
      <c r="B5" s="5" t="s">
        <v>85</v>
      </c>
      <c r="C5" s="5" t="s">
        <v>86</v>
      </c>
      <c r="D5" s="5" t="s">
        <v>81</v>
      </c>
      <c r="E5" s="5">
        <v>980</v>
      </c>
      <c r="F5" s="9">
        <v>0.08</v>
      </c>
      <c r="G5" s="9">
        <v>0.159</v>
      </c>
      <c r="H5" s="9">
        <v>0.32</v>
      </c>
      <c r="I5" s="5" t="s">
        <v>82</v>
      </c>
      <c r="J5" s="10">
        <v>46222.625</v>
      </c>
      <c r="K5" s="5" t="s">
        <v>87</v>
      </c>
    </row>
    <row r="6" ht="62" customHeight="1" spans="1:11" x14ac:dyDescent="0.25">
      <c r="A6" s="5" t="s">
        <v>88</v>
      </c>
      <c r="B6" s="5" t="s">
        <v>89</v>
      </c>
      <c r="C6" s="5" t="s">
        <v>90</v>
      </c>
      <c r="D6" s="5" t="s">
        <v>81</v>
      </c>
      <c r="E6" s="5">
        <v>1250</v>
      </c>
      <c r="F6" s="9">
        <v>0.05</v>
      </c>
      <c r="G6" s="9">
        <v>0.155</v>
      </c>
      <c r="H6" s="9">
        <v>0.24</v>
      </c>
      <c r="I6" s="5" t="s">
        <v>82</v>
      </c>
      <c r="J6" s="10">
        <v>46222.625</v>
      </c>
      <c r="K6" s="5" t="s">
        <v>91</v>
      </c>
    </row>
    <row r="7" ht="62" customHeight="1" spans="1:11" x14ac:dyDescent="0.25">
      <c r="A7" s="5" t="s">
        <v>92</v>
      </c>
      <c r="B7" s="5" t="s">
        <v>93</v>
      </c>
      <c r="C7" s="5" t="s">
        <v>94</v>
      </c>
      <c r="D7" s="5" t="s">
        <v>81</v>
      </c>
      <c r="E7" s="5">
        <v>1050</v>
      </c>
      <c r="F7" s="9">
        <v>0.09</v>
      </c>
      <c r="G7" s="9">
        <v>0.171</v>
      </c>
      <c r="H7" s="9">
        <v>0.22</v>
      </c>
      <c r="I7" s="5" t="s">
        <v>82</v>
      </c>
      <c r="J7" s="10">
        <v>46222.625</v>
      </c>
      <c r="K7" s="5" t="s">
        <v>95</v>
      </c>
    </row>
    <row r="8" ht="62" customHeight="1" spans="1:11" x14ac:dyDescent="0.25">
      <c r="A8" s="5" t="s">
        <v>96</v>
      </c>
      <c r="B8" s="5" t="s">
        <v>97</v>
      </c>
      <c r="C8" s="5" t="s">
        <v>98</v>
      </c>
      <c r="D8" s="5" t="s">
        <v>81</v>
      </c>
      <c r="E8" s="5">
        <v>1320</v>
      </c>
      <c r="F8" s="9">
        <v>0.06</v>
      </c>
      <c r="G8" s="9">
        <v>0.162</v>
      </c>
      <c r="H8" s="9">
        <v>0.2</v>
      </c>
      <c r="I8" s="5" t="s">
        <v>82</v>
      </c>
      <c r="J8" s="10">
        <v>46222.625</v>
      </c>
      <c r="K8" s="5" t="s">
        <v>99</v>
      </c>
    </row>
    <row r="9" ht="62" customHeight="1" spans="1:11" x14ac:dyDescent="0.25">
      <c r="A9" s="5" t="s">
        <v>100</v>
      </c>
      <c r="B9" s="5" t="s">
        <v>101</v>
      </c>
      <c r="C9" s="5" t="s">
        <v>102</v>
      </c>
      <c r="D9" s="5" t="s">
        <v>81</v>
      </c>
      <c r="E9" s="5">
        <v>1130</v>
      </c>
      <c r="F9" s="9">
        <v>0.06</v>
      </c>
      <c r="G9" s="9">
        <v>0.16</v>
      </c>
      <c r="H9" s="9">
        <v>0.26</v>
      </c>
      <c r="I9" s="5" t="s">
        <v>82</v>
      </c>
      <c r="J9" s="10">
        <v>46222.625</v>
      </c>
      <c r="K9" s="5" t="s">
        <v>103</v>
      </c>
    </row>
    <row r="10" ht="62" customHeight="1" spans="1:11" x14ac:dyDescent="0.25">
      <c r="A10" s="5" t="s">
        <v>104</v>
      </c>
      <c r="B10" s="5" t="s">
        <v>105</v>
      </c>
      <c r="C10" s="5" t="s">
        <v>106</v>
      </c>
      <c r="D10" s="5" t="s">
        <v>107</v>
      </c>
      <c r="E10" s="5">
        <v>4800</v>
      </c>
      <c r="F10" s="9">
        <v>0.1</v>
      </c>
      <c r="G10" s="9">
        <v>0.195</v>
      </c>
      <c r="H10" s="9">
        <v>0.25</v>
      </c>
      <c r="I10" s="5" t="s">
        <v>82</v>
      </c>
      <c r="J10" s="10">
        <v>46222.625</v>
      </c>
      <c r="K10" s="5" t="s">
        <v>108</v>
      </c>
    </row>
    <row r="11" ht="62" customHeight="1" spans="1:11" x14ac:dyDescent="0.25">
      <c r="A11" s="5" t="s">
        <v>109</v>
      </c>
      <c r="B11" s="5" t="s">
        <v>110</v>
      </c>
      <c r="C11" s="5" t="s">
        <v>111</v>
      </c>
      <c r="D11" s="5" t="s">
        <v>81</v>
      </c>
      <c r="E11" s="5">
        <v>900</v>
      </c>
      <c r="F11" s="9">
        <v>0.11</v>
      </c>
      <c r="G11" s="9">
        <v>0.23</v>
      </c>
      <c r="H11" s="9">
        <v>0.68</v>
      </c>
      <c r="I11" s="5" t="s">
        <v>82</v>
      </c>
      <c r="J11" s="10">
        <v>46222.625</v>
      </c>
      <c r="K11" s="5" t="s">
        <v>112</v>
      </c>
    </row>
    <row r="12" ht="62" customHeight="1" spans="1:11" x14ac:dyDescent="0.25">
      <c r="A12" s="5" t="s">
        <v>113</v>
      </c>
      <c r="B12" s="5" t="s">
        <v>114</v>
      </c>
      <c r="C12" s="5" t="s">
        <v>115</v>
      </c>
      <c r="D12" s="5" t="s">
        <v>81</v>
      </c>
      <c r="E12" s="5">
        <v>2100</v>
      </c>
      <c r="F12" s="9">
        <v>0.03</v>
      </c>
      <c r="G12" s="9">
        <v>0.11</v>
      </c>
      <c r="H12" s="9">
        <v>0.18</v>
      </c>
      <c r="I12" s="5" t="s">
        <v>82</v>
      </c>
      <c r="J12" s="10">
        <v>46222.625</v>
      </c>
      <c r="K12" s="5" t="s">
        <v>116</v>
      </c>
    </row>
    <row r="13" ht="62" customHeight="1" spans="1:11" x14ac:dyDescent="0.25">
      <c r="A13" s="5" t="s">
        <v>117</v>
      </c>
      <c r="B13" s="5" t="s">
        <v>118</v>
      </c>
      <c r="C13" s="5" t="s">
        <v>119</v>
      </c>
      <c r="D13" s="5" t="s">
        <v>81</v>
      </c>
      <c r="E13" s="5">
        <v>1080</v>
      </c>
      <c r="F13" s="9">
        <v>0.07</v>
      </c>
      <c r="G13" s="5" t="s">
        <v>120</v>
      </c>
      <c r="H13" s="9">
        <v>0.29</v>
      </c>
      <c r="I13" s="5" t="s">
        <v>82</v>
      </c>
      <c r="J13" s="10">
        <v>46222.625</v>
      </c>
      <c r="K13" s="5" t="s">
        <v>121</v>
      </c>
    </row>
    <row r="14" ht="62" customHeight="1" spans="1:11" x14ac:dyDescent="0.25">
      <c r="A14" s="5" t="s">
        <v>122</v>
      </c>
      <c r="B14" s="5" t="s">
        <v>123</v>
      </c>
      <c r="C14" s="5" t="s">
        <v>124</v>
      </c>
      <c r="D14" s="5" t="s">
        <v>125</v>
      </c>
      <c r="E14" s="5">
        <v>3600</v>
      </c>
      <c r="F14" s="9">
        <v>0.04</v>
      </c>
      <c r="G14" s="9">
        <v>0.135</v>
      </c>
      <c r="H14" s="9">
        <v>0.35</v>
      </c>
      <c r="I14" s="5" t="s">
        <v>82</v>
      </c>
      <c r="J14" s="10">
        <v>46222.625</v>
      </c>
      <c r="K14" s="5" t="s">
        <v>126</v>
      </c>
    </row>
    <row r="15" ht="62" customHeight="1" spans="1:11" x14ac:dyDescent="0.25">
      <c r="A15" s="5" t="s">
        <v>127</v>
      </c>
      <c r="B15" s="5" t="s">
        <v>128</v>
      </c>
      <c r="C15" s="5" t="s">
        <v>129</v>
      </c>
      <c r="D15" s="5" t="s">
        <v>81</v>
      </c>
      <c r="E15" s="5">
        <v>950</v>
      </c>
      <c r="F15" s="9">
        <v>-0.04</v>
      </c>
      <c r="G15" s="9">
        <v>0.02</v>
      </c>
      <c r="H15" s="9">
        <v>0.15</v>
      </c>
      <c r="I15" s="5" t="s">
        <v>82</v>
      </c>
      <c r="J15" s="10">
        <v>46222.625</v>
      </c>
      <c r="K15" s="5" t="s">
        <v>130</v>
      </c>
    </row>
  </sheetData>
  <autoFilter ref="A3:K15"/>
  <mergeCells count="2">
    <mergeCell ref="A1:K1"/>
    <mergeCell ref="A2:K2"/>
  </mergeCells>
  <pageMargins left="0.25" right="0.25" top="0.5" bottom="0.5" header="0.2" footer="0.2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2" customWidth="1"/>
    <col min="4" max="15" width="13" customWidth="1"/>
    <col min="16" max="16" width="14" customWidth="1"/>
    <col min="17" max="17" width="18" customWidth="1"/>
    <col min="18" max="18" width="22" customWidth="1"/>
    <col min="19" max="19" width="20" customWidth="1"/>
    <col min="20" max="20" width="24" customWidth="1"/>
    <col min="21" max="21" width="18" customWidth="1"/>
    <col min="22" max="22" width="58" customWidth="1"/>
  </cols>
  <sheetData>
    <row r="1" ht="28" customHeight="1" spans="1:22" x14ac:dyDescent="0.25">
      <c r="A1" s="1" t="s">
        <v>131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30" customHeight="1" spans="1:22" x14ac:dyDescent="0.25">
      <c r="A2" s="2" t="s">
        <v>132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34" customHeight="1" spans="1:22" s="3" customFormat="1" x14ac:dyDescent="0.25">
      <c r="A3" s="4" t="s">
        <v>70</v>
      </c>
      <c r="B3" s="4" t="s">
        <v>71</v>
      </c>
      <c r="C3" s="4" t="s">
        <v>133</v>
      </c>
      <c r="D3" s="4" t="s">
        <v>134</v>
      </c>
      <c r="E3" s="4" t="s">
        <v>135</v>
      </c>
      <c r="F3" s="4" t="s">
        <v>59</v>
      </c>
      <c r="G3" s="4" t="s">
        <v>72</v>
      </c>
      <c r="H3" s="4" t="s">
        <v>136</v>
      </c>
      <c r="I3" s="4" t="s">
        <v>73</v>
      </c>
      <c r="J3" s="4" t="s">
        <v>137</v>
      </c>
      <c r="K3" s="4" t="s">
        <v>62</v>
      </c>
      <c r="L3" s="4" t="s">
        <v>65</v>
      </c>
      <c r="M3" s="4" t="s">
        <v>138</v>
      </c>
      <c r="N3" s="4" t="s">
        <v>139</v>
      </c>
      <c r="O3" s="4" t="s">
        <v>140</v>
      </c>
      <c r="P3" s="4" t="s">
        <v>17</v>
      </c>
      <c r="Q3" s="4" t="s">
        <v>141</v>
      </c>
      <c r="R3" s="4" t="s">
        <v>142</v>
      </c>
      <c r="S3" s="4" t="s">
        <v>143</v>
      </c>
      <c r="T3" s="4" t="s">
        <v>144</v>
      </c>
      <c r="U3" s="4" t="s">
        <v>145</v>
      </c>
      <c r="V3" s="4" t="s">
        <v>146</v>
      </c>
    </row>
    <row r="4" ht="58" customHeight="1" spans="1:22" x14ac:dyDescent="0.25">
      <c r="A4" s="5" t="s">
        <v>78</v>
      </c>
      <c r="B4" s="5" t="s">
        <v>79</v>
      </c>
      <c r="C4" s="5" t="s">
        <v>27</v>
      </c>
      <c r="D4" s="11">
        <v>3</v>
      </c>
      <c r="E4" s="11">
        <v>3</v>
      </c>
      <c r="F4" s="11">
        <v>3</v>
      </c>
      <c r="G4" s="11">
        <v>3</v>
      </c>
      <c r="H4" s="11">
        <v>3</v>
      </c>
      <c r="I4" s="11">
        <v>3</v>
      </c>
      <c r="J4" s="11">
        <v>3</v>
      </c>
      <c r="K4" s="11">
        <v>3</v>
      </c>
      <c r="L4" s="11">
        <v>3</v>
      </c>
      <c r="M4" s="11">
        <v>2</v>
      </c>
      <c r="N4" s="11">
        <v>3</v>
      </c>
      <c r="O4" s="11">
        <v>2</v>
      </c>
      <c r="P4" s="12">
        <f>SUM(D4:O4)</f>
      </c>
      <c r="Q4" s="5" t="b">
        <v>0</v>
      </c>
      <c r="R4" s="5" t="s">
        <v>147</v>
      </c>
      <c r="S4" s="5" t="b">
        <v>0</v>
      </c>
      <c r="T4" s="5" t="s">
        <v>27</v>
      </c>
      <c r="U4" s="13">
        <f>COUNTIF(D4:D4,"&lt;2")+COUNTIF(E4:E4,"&lt;2")+COUNTIF(F4:F4,"&lt;2")+COUNTIF(K4:K4,"&lt;2")</f>
      </c>
      <c r="V4" s="5" t="s">
        <v>83</v>
      </c>
    </row>
    <row r="5" ht="58" customHeight="1" spans="1:22" x14ac:dyDescent="0.25">
      <c r="A5" s="5" t="s">
        <v>84</v>
      </c>
      <c r="B5" s="5" t="s">
        <v>85</v>
      </c>
      <c r="C5" s="5" t="s">
        <v>27</v>
      </c>
      <c r="D5" s="11">
        <v>3</v>
      </c>
      <c r="E5" s="11">
        <v>3</v>
      </c>
      <c r="F5" s="11">
        <v>3</v>
      </c>
      <c r="G5" s="11">
        <v>3</v>
      </c>
      <c r="H5" s="11">
        <v>3</v>
      </c>
      <c r="I5" s="11">
        <v>3</v>
      </c>
      <c r="J5" s="11">
        <v>3</v>
      </c>
      <c r="K5" s="11">
        <v>3</v>
      </c>
      <c r="L5" s="11">
        <v>3</v>
      </c>
      <c r="M5" s="11">
        <v>2</v>
      </c>
      <c r="N5" s="11">
        <v>3</v>
      </c>
      <c r="O5" s="11">
        <v>2</v>
      </c>
      <c r="P5" s="12">
        <f>SUM(D5:O5)</f>
      </c>
      <c r="Q5" s="5" t="b">
        <v>0</v>
      </c>
      <c r="R5" s="5" t="s">
        <v>147</v>
      </c>
      <c r="S5" s="5" t="b">
        <v>0</v>
      </c>
      <c r="T5" s="5" t="s">
        <v>27</v>
      </c>
      <c r="U5" s="13">
        <f>COUNTIF(D5:D5,"&lt;2")+COUNTIF(E5:E5,"&lt;2")+COUNTIF(F5:F5,"&lt;2")+COUNTIF(K5:K5,"&lt;2")</f>
      </c>
      <c r="V5" s="5" t="s">
        <v>87</v>
      </c>
    </row>
    <row r="6" ht="58" customHeight="1" spans="1:22" x14ac:dyDescent="0.25">
      <c r="A6" s="5" t="s">
        <v>88</v>
      </c>
      <c r="B6" s="5" t="s">
        <v>89</v>
      </c>
      <c r="C6" s="5" t="s">
        <v>27</v>
      </c>
      <c r="D6" s="11">
        <v>3</v>
      </c>
      <c r="E6" s="11">
        <v>2</v>
      </c>
      <c r="F6" s="11">
        <v>3</v>
      </c>
      <c r="G6" s="11">
        <v>3</v>
      </c>
      <c r="H6" s="11">
        <v>3</v>
      </c>
      <c r="I6" s="11">
        <v>2</v>
      </c>
      <c r="J6" s="11">
        <v>3</v>
      </c>
      <c r="K6" s="11">
        <v>3</v>
      </c>
      <c r="L6" s="11">
        <v>3</v>
      </c>
      <c r="M6" s="11">
        <v>2</v>
      </c>
      <c r="N6" s="11">
        <v>3</v>
      </c>
      <c r="O6" s="11">
        <v>2</v>
      </c>
      <c r="P6" s="12">
        <f>SUM(D6:O6)</f>
      </c>
      <c r="Q6" s="5" t="b">
        <v>0</v>
      </c>
      <c r="R6" s="5" t="s">
        <v>147</v>
      </c>
      <c r="S6" s="5" t="b">
        <v>0</v>
      </c>
      <c r="T6" s="5" t="s">
        <v>27</v>
      </c>
      <c r="U6" s="13">
        <f>COUNTIF(D6:D6,"&lt;2")+COUNTIF(E6:E6,"&lt;2")+COUNTIF(F6:F6,"&lt;2")+COUNTIF(K6:K6,"&lt;2")</f>
      </c>
      <c r="V6" s="5" t="s">
        <v>91</v>
      </c>
    </row>
    <row r="7" ht="58" customHeight="1" spans="1:22" x14ac:dyDescent="0.25">
      <c r="A7" s="5" t="s">
        <v>92</v>
      </c>
      <c r="B7" s="5" t="s">
        <v>93</v>
      </c>
      <c r="C7" s="5" t="s">
        <v>27</v>
      </c>
      <c r="D7" s="11">
        <v>3</v>
      </c>
      <c r="E7" s="11">
        <v>2</v>
      </c>
      <c r="F7" s="11">
        <v>2</v>
      </c>
      <c r="G7" s="11">
        <v>3</v>
      </c>
      <c r="H7" s="11">
        <v>3</v>
      </c>
      <c r="I7" s="11">
        <v>3</v>
      </c>
      <c r="J7" s="11">
        <v>3</v>
      </c>
      <c r="K7" s="11">
        <v>3</v>
      </c>
      <c r="L7" s="11">
        <v>3</v>
      </c>
      <c r="M7" s="11">
        <v>2</v>
      </c>
      <c r="N7" s="11">
        <v>3</v>
      </c>
      <c r="O7" s="11">
        <v>2</v>
      </c>
      <c r="P7" s="12">
        <f>SUM(D7:O7)</f>
      </c>
      <c r="Q7" s="5" t="b">
        <v>0</v>
      </c>
      <c r="R7" s="5" t="s">
        <v>147</v>
      </c>
      <c r="S7" s="5" t="b">
        <v>0</v>
      </c>
      <c r="T7" s="5" t="s">
        <v>27</v>
      </c>
      <c r="U7" s="13">
        <f>COUNTIF(D7:D7,"&lt;2")+COUNTIF(E7:E7,"&lt;2")+COUNTIF(F7:F7,"&lt;2")+COUNTIF(K7:K7,"&lt;2")</f>
      </c>
      <c r="V7" s="5" t="s">
        <v>95</v>
      </c>
    </row>
    <row r="8" ht="58" customHeight="1" spans="1:22" x14ac:dyDescent="0.25">
      <c r="A8" s="5" t="s">
        <v>96</v>
      </c>
      <c r="B8" s="5" t="s">
        <v>97</v>
      </c>
      <c r="C8" s="5" t="s">
        <v>27</v>
      </c>
      <c r="D8" s="11">
        <v>3</v>
      </c>
      <c r="E8" s="11">
        <v>3</v>
      </c>
      <c r="F8" s="11">
        <v>3</v>
      </c>
      <c r="G8" s="11">
        <v>3</v>
      </c>
      <c r="H8" s="11">
        <v>2</v>
      </c>
      <c r="I8" s="11">
        <v>2</v>
      </c>
      <c r="J8" s="11">
        <v>3</v>
      </c>
      <c r="K8" s="11">
        <v>3</v>
      </c>
      <c r="L8" s="11">
        <v>3</v>
      </c>
      <c r="M8" s="11">
        <v>2</v>
      </c>
      <c r="N8" s="11">
        <v>3</v>
      </c>
      <c r="O8" s="11">
        <v>2</v>
      </c>
      <c r="P8" s="12">
        <f>SUM(D8:O8)</f>
      </c>
      <c r="Q8" s="5" t="b">
        <v>0</v>
      </c>
      <c r="R8" s="5" t="s">
        <v>147</v>
      </c>
      <c r="S8" s="5" t="b">
        <v>0</v>
      </c>
      <c r="T8" s="5" t="s">
        <v>27</v>
      </c>
      <c r="U8" s="13">
        <f>COUNTIF(D8:D8,"&lt;2")+COUNTIF(E8:E8,"&lt;2")+COUNTIF(F8:F8,"&lt;2")+COUNTIF(K8:K8,"&lt;2")</f>
      </c>
      <c r="V8" s="5" t="s">
        <v>99</v>
      </c>
    </row>
    <row r="9" ht="58" customHeight="1" spans="1:22" x14ac:dyDescent="0.25">
      <c r="A9" s="5" t="s">
        <v>100</v>
      </c>
      <c r="B9" s="5" t="s">
        <v>101</v>
      </c>
      <c r="C9" s="5" t="s">
        <v>27</v>
      </c>
      <c r="D9" s="11">
        <v>3</v>
      </c>
      <c r="E9" s="11">
        <v>3</v>
      </c>
      <c r="F9" s="11">
        <v>3</v>
      </c>
      <c r="G9" s="11">
        <v>3</v>
      </c>
      <c r="H9" s="11">
        <v>3</v>
      </c>
      <c r="I9" s="11">
        <v>2</v>
      </c>
      <c r="J9" s="11">
        <v>3</v>
      </c>
      <c r="K9" s="11">
        <v>3</v>
      </c>
      <c r="L9" s="11">
        <v>3</v>
      </c>
      <c r="M9" s="11">
        <v>2</v>
      </c>
      <c r="N9" s="11">
        <v>3</v>
      </c>
      <c r="O9" s="11">
        <v>2</v>
      </c>
      <c r="P9" s="12">
        <f>SUM(D9:O9)</f>
      </c>
      <c r="Q9" s="5" t="b">
        <v>0</v>
      </c>
      <c r="R9" s="5" t="s">
        <v>147</v>
      </c>
      <c r="S9" s="5" t="b">
        <v>0</v>
      </c>
      <c r="T9" s="5" t="s">
        <v>27</v>
      </c>
      <c r="U9" s="13">
        <f>COUNTIF(D9:D9,"&lt;2")+COUNTIF(E9:E9,"&lt;2")+COUNTIF(F9:F9,"&lt;2")+COUNTIF(K9:K9,"&lt;2")</f>
      </c>
      <c r="V9" s="5" t="s">
        <v>103</v>
      </c>
    </row>
    <row r="10" ht="58" customHeight="1" spans="1:22" x14ac:dyDescent="0.25">
      <c r="A10" s="5" t="s">
        <v>104</v>
      </c>
      <c r="B10" s="5" t="s">
        <v>105</v>
      </c>
      <c r="C10" s="5" t="s">
        <v>29</v>
      </c>
      <c r="D10" s="11">
        <v>3</v>
      </c>
      <c r="E10" s="11">
        <v>3</v>
      </c>
      <c r="F10" s="11">
        <v>3</v>
      </c>
      <c r="G10" s="11">
        <v>1</v>
      </c>
      <c r="H10" s="11">
        <v>0</v>
      </c>
      <c r="I10" s="11">
        <v>3</v>
      </c>
      <c r="J10" s="11">
        <v>1</v>
      </c>
      <c r="K10" s="11">
        <v>3</v>
      </c>
      <c r="L10" s="11">
        <v>3</v>
      </c>
      <c r="M10" s="11">
        <v>2</v>
      </c>
      <c r="N10" s="11">
        <v>2</v>
      </c>
      <c r="O10" s="11">
        <v>3</v>
      </c>
      <c r="P10" s="12">
        <f>SUM(D10:O10)</f>
      </c>
      <c r="Q10" s="5" t="b">
        <v>0</v>
      </c>
      <c r="R10" s="5" t="s">
        <v>147</v>
      </c>
      <c r="S10" s="5" t="b">
        <v>0</v>
      </c>
      <c r="T10" s="5" t="s">
        <v>29</v>
      </c>
      <c r="U10" s="13">
        <f>COUNTIF(D10:D10,"&lt;2")+COUNTIF(E10:E10,"&lt;2")+COUNTIF(F10:F10,"&lt;2")+COUNTIF(K10:K10,"&lt;2")</f>
      </c>
      <c r="V10" s="5" t="s">
        <v>108</v>
      </c>
    </row>
    <row r="11" ht="58" customHeight="1" spans="1:22" x14ac:dyDescent="0.25">
      <c r="A11" s="5" t="s">
        <v>109</v>
      </c>
      <c r="B11" s="5" t="s">
        <v>110</v>
      </c>
      <c r="C11" s="5" t="s">
        <v>31</v>
      </c>
      <c r="D11" s="11">
        <v>2</v>
      </c>
      <c r="E11" s="11">
        <v>0</v>
      </c>
      <c r="F11" s="11">
        <v>3</v>
      </c>
      <c r="G11" s="11">
        <v>3</v>
      </c>
      <c r="H11" s="11">
        <v>2</v>
      </c>
      <c r="I11" s="11">
        <v>3</v>
      </c>
      <c r="J11" s="11">
        <v>0</v>
      </c>
      <c r="K11" s="11">
        <v>0</v>
      </c>
      <c r="L11" s="11">
        <v>2</v>
      </c>
      <c r="M11" s="11">
        <v>3</v>
      </c>
      <c r="N11" s="11">
        <v>3</v>
      </c>
      <c r="O11" s="11">
        <v>2</v>
      </c>
      <c r="P11" s="12">
        <f>SUM(D11:O11)</f>
      </c>
      <c r="Q11" s="5" t="b">
        <v>1</v>
      </c>
      <c r="R11" s="5" t="s">
        <v>147</v>
      </c>
      <c r="S11" s="5" t="b">
        <v>1</v>
      </c>
      <c r="T11" s="5" t="s">
        <v>31</v>
      </c>
      <c r="U11" s="13">
        <f>COUNTIF(D11:D11,"&lt;2")+COUNTIF(E11:E11,"&lt;2")+COUNTIF(F11:F11,"&lt;2")+COUNTIF(K11:K11,"&lt;2")</f>
      </c>
      <c r="V11" s="5" t="s">
        <v>112</v>
      </c>
    </row>
    <row r="12" ht="58" customHeight="1" spans="1:22" x14ac:dyDescent="0.25">
      <c r="A12" s="5" t="s">
        <v>113</v>
      </c>
      <c r="B12" s="5" t="s">
        <v>114</v>
      </c>
      <c r="C12" s="5" t="s">
        <v>33</v>
      </c>
      <c r="D12" s="11">
        <v>0</v>
      </c>
      <c r="E12" s="11">
        <v>1</v>
      </c>
      <c r="F12" s="11">
        <v>0</v>
      </c>
      <c r="G12" s="11">
        <v>3</v>
      </c>
      <c r="H12" s="11">
        <v>1</v>
      </c>
      <c r="I12" s="11">
        <v>1</v>
      </c>
      <c r="J12" s="11">
        <v>0</v>
      </c>
      <c r="K12" s="11">
        <v>0</v>
      </c>
      <c r="L12" s="11">
        <v>0</v>
      </c>
      <c r="M12" s="11">
        <v>1</v>
      </c>
      <c r="N12" s="11">
        <v>3</v>
      </c>
      <c r="O12" s="11">
        <v>2</v>
      </c>
      <c r="P12" s="12">
        <f>SUM(D12:O12)</f>
      </c>
      <c r="Q12" s="5" t="b">
        <v>1</v>
      </c>
      <c r="R12" s="5" t="s">
        <v>147</v>
      </c>
      <c r="S12" s="5" t="b">
        <v>1</v>
      </c>
      <c r="T12" s="5" t="s">
        <v>33</v>
      </c>
      <c r="U12" s="13">
        <f>COUNTIF(D12:D12,"&lt;2")+COUNTIF(E12:E12,"&lt;2")+COUNTIF(F12:F12,"&lt;2")+COUNTIF(K12:K12,"&lt;2")</f>
      </c>
      <c r="V12" s="5" t="s">
        <v>116</v>
      </c>
    </row>
    <row r="13" ht="58" customHeight="1" spans="1:22" x14ac:dyDescent="0.25">
      <c r="A13" s="5" t="s">
        <v>117</v>
      </c>
      <c r="B13" s="5" t="s">
        <v>118</v>
      </c>
      <c r="C13" s="5" t="s">
        <v>35</v>
      </c>
      <c r="D13" s="11">
        <v>3</v>
      </c>
      <c r="E13" s="11">
        <v>3</v>
      </c>
      <c r="F13" s="11">
        <v>3</v>
      </c>
      <c r="G13" s="11">
        <v>3</v>
      </c>
      <c r="H13" s="11">
        <v>3</v>
      </c>
      <c r="I13" s="11">
        <v>3</v>
      </c>
      <c r="J13" s="11" t="s">
        <v>120</v>
      </c>
      <c r="K13" s="11">
        <v>3</v>
      </c>
      <c r="L13" s="11">
        <v>3</v>
      </c>
      <c r="M13" s="11">
        <v>2</v>
      </c>
      <c r="N13" s="11">
        <v>3</v>
      </c>
      <c r="O13" s="11" t="s">
        <v>120</v>
      </c>
      <c r="P13" s="12">
        <f>SUM(D13:O13)</f>
      </c>
      <c r="Q13" s="5" t="b">
        <v>0</v>
      </c>
      <c r="R13" s="5" t="s">
        <v>148</v>
      </c>
      <c r="S13" s="5" t="b">
        <v>1</v>
      </c>
      <c r="T13" s="5" t="s">
        <v>35</v>
      </c>
      <c r="U13" s="13">
        <f>COUNTIF(D13:D13,"&lt;2")+COUNTIF(E13:E13,"&lt;2")+COUNTIF(F13:F13,"&lt;2")+COUNTIF(K13:K13,"&lt;2")</f>
      </c>
      <c r="V13" s="5" t="s">
        <v>121</v>
      </c>
    </row>
    <row r="14" ht="58" customHeight="1" spans="1:22" x14ac:dyDescent="0.25">
      <c r="A14" s="5" t="s">
        <v>122</v>
      </c>
      <c r="B14" s="5" t="s">
        <v>123</v>
      </c>
      <c r="C14" s="5" t="s">
        <v>37</v>
      </c>
      <c r="D14" s="11">
        <v>1</v>
      </c>
      <c r="E14" s="11">
        <v>1</v>
      </c>
      <c r="F14" s="11">
        <v>1</v>
      </c>
      <c r="G14" s="11">
        <v>1</v>
      </c>
      <c r="H14" s="11">
        <v>0</v>
      </c>
      <c r="I14" s="11">
        <v>1</v>
      </c>
      <c r="J14" s="11">
        <v>1</v>
      </c>
      <c r="K14" s="11">
        <v>1</v>
      </c>
      <c r="L14" s="11">
        <v>1</v>
      </c>
      <c r="M14" s="11">
        <v>1</v>
      </c>
      <c r="N14" s="11">
        <v>2</v>
      </c>
      <c r="O14" s="11">
        <v>2</v>
      </c>
      <c r="P14" s="12">
        <f>SUM(D14:O14)</f>
      </c>
      <c r="Q14" s="5" t="b">
        <v>1</v>
      </c>
      <c r="R14" s="5" t="s">
        <v>147</v>
      </c>
      <c r="S14" s="5" t="b">
        <v>1</v>
      </c>
      <c r="T14" s="5" t="s">
        <v>37</v>
      </c>
      <c r="U14" s="13">
        <f>COUNTIF(D14:D14,"&lt;2")+COUNTIF(E14:E14,"&lt;2")+COUNTIF(F14:F14,"&lt;2")+COUNTIF(K14:K14,"&lt;2")</f>
      </c>
      <c r="V14" s="5" t="s">
        <v>126</v>
      </c>
    </row>
    <row r="15" ht="58" customHeight="1" spans="1:22" x14ac:dyDescent="0.25">
      <c r="A15" s="5" t="s">
        <v>127</v>
      </c>
      <c r="B15" s="5" t="s">
        <v>128</v>
      </c>
      <c r="C15" s="5" t="s">
        <v>37</v>
      </c>
      <c r="D15" s="11">
        <v>2</v>
      </c>
      <c r="E15" s="11">
        <v>1</v>
      </c>
      <c r="F15" s="11">
        <v>2</v>
      </c>
      <c r="G15" s="11">
        <v>3</v>
      </c>
      <c r="H15" s="11">
        <v>2</v>
      </c>
      <c r="I15" s="11">
        <v>0</v>
      </c>
      <c r="J15" s="11">
        <v>0</v>
      </c>
      <c r="K15" s="11">
        <v>1</v>
      </c>
      <c r="L15" s="11">
        <v>2</v>
      </c>
      <c r="M15" s="11">
        <v>0</v>
      </c>
      <c r="N15" s="11">
        <v>2</v>
      </c>
      <c r="O15" s="11">
        <v>1</v>
      </c>
      <c r="P15" s="12">
        <f>SUM(D15:O15)</f>
      </c>
      <c r="Q15" s="5" t="b">
        <v>1</v>
      </c>
      <c r="R15" s="5" t="s">
        <v>147</v>
      </c>
      <c r="S15" s="5" t="b">
        <v>1</v>
      </c>
      <c r="T15" s="5" t="s">
        <v>37</v>
      </c>
      <c r="U15" s="13">
        <f>COUNTIF(D15:D15,"&lt;2")+COUNTIF(E15:E15,"&lt;2")+COUNTIF(F15:F15,"&lt;2")+COUNTIF(K15:K15,"&lt;2")</f>
      </c>
      <c r="V15" s="5" t="s">
        <v>130</v>
      </c>
    </row>
  </sheetData>
  <autoFilter ref="A3:V15"/>
  <mergeCells count="2">
    <mergeCell ref="A1:V1"/>
    <mergeCell ref="A2:V2"/>
  </mergeCells>
  <conditionalFormatting sqref="D4:O15">
    <cfRule type="colorScale" priority="1">
      <colorScale>
        <cfvo type="min"/>
        <cfvo type="percentile" val="50"/>
        <cfvo type="max"/>
        <color rgb="FFFDECEC"/>
        <color rgb="FFFFF2CC"/>
        <color rgb="FFE9F6EF"/>
      </colorScale>
    </cfRule>
  </conditionalFormatting>
  <conditionalFormatting sqref="Q4:Q15">
    <cfRule type="cellIs" dxfId="0" priority="2" operator="equal">
      <formula>TRUE</formula>
    </cfRule>
  </conditionalFormatting>
  <conditionalFormatting sqref="S4:S15">
    <cfRule type="cellIs" dxfId="1" priority="3" operator="greaterThan">
      <formula>0</formula>
    </cfRule>
  </conditionalFormatting>
  <pageMargins left="0.25" right="0.25" top="0.5" bottom="0.5" header="0.2" footer="0.2"/>
  <pageSetup paperSize="9" orientation="landscape" fitToWidth="1" fitToHeight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6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24" customWidth="1"/>
    <col min="4" max="4" width="58" customWidth="1"/>
    <col min="5" max="5" width="32" customWidth="1"/>
    <col min="6" max="6" width="16" customWidth="1"/>
    <col min="7" max="7" width="18" customWidth="1"/>
    <col min="8" max="8" width="22" customWidth="1"/>
    <col min="9" max="9" width="20" customWidth="1"/>
  </cols>
  <sheetData>
    <row r="1" ht="28" customHeight="1" spans="1:9" x14ac:dyDescent="0.25">
      <c r="A1" s="1" t="s">
        <v>133</v>
      </c>
      <c r="B1" s="1"/>
      <c r="C1" s="1"/>
      <c r="D1" s="1"/>
      <c r="E1" s="1"/>
      <c r="F1" s="1"/>
      <c r="G1" s="1"/>
      <c r="H1" s="1"/>
      <c r="I1" s="1"/>
    </row>
    <row r="2" ht="30" customHeight="1" spans="1:9" x14ac:dyDescent="0.25">
      <c r="A2" s="2" t="s">
        <v>149</v>
      </c>
      <c r="B2" s="2"/>
      <c r="C2" s="2"/>
      <c r="D2" s="2"/>
      <c r="E2" s="2"/>
      <c r="F2" s="2"/>
      <c r="G2" s="2"/>
      <c r="H2" s="2"/>
      <c r="I2" s="2"/>
    </row>
    <row r="4" ht="34" customHeight="1" spans="1:9" s="3" customFormat="1" x14ac:dyDescent="0.25">
      <c r="A4" s="4" t="s">
        <v>70</v>
      </c>
      <c r="B4" s="4" t="s">
        <v>71</v>
      </c>
      <c r="C4" s="4" t="s">
        <v>133</v>
      </c>
      <c r="D4" s="4" t="s">
        <v>150</v>
      </c>
      <c r="E4" s="4" t="s">
        <v>151</v>
      </c>
      <c r="F4" s="4" t="s">
        <v>152</v>
      </c>
      <c r="G4" s="4" t="s">
        <v>141</v>
      </c>
      <c r="H4" s="4" t="s">
        <v>142</v>
      </c>
      <c r="I4" s="4" t="s">
        <v>143</v>
      </c>
    </row>
    <row r="5" ht="70" customHeight="1" spans="1:9" x14ac:dyDescent="0.25">
      <c r="A5" s="5" t="s">
        <v>78</v>
      </c>
      <c r="B5" s="5" t="s">
        <v>79</v>
      </c>
      <c r="C5" s="7" t="s">
        <v>27</v>
      </c>
      <c r="D5" s="5" t="s">
        <v>83</v>
      </c>
      <c r="E5" s="5" t="s">
        <v>153</v>
      </c>
      <c r="F5" s="5" t="s">
        <v>154</v>
      </c>
      <c r="G5" s="5" t="b">
        <v>0</v>
      </c>
      <c r="H5" s="5" t="s">
        <v>147</v>
      </c>
      <c r="I5" s="5" t="b">
        <v>0</v>
      </c>
    </row>
    <row r="6" ht="70" customHeight="1" spans="1:9" x14ac:dyDescent="0.25">
      <c r="A6" s="5" t="s">
        <v>84</v>
      </c>
      <c r="B6" s="5" t="s">
        <v>85</v>
      </c>
      <c r="C6" s="7" t="s">
        <v>27</v>
      </c>
      <c r="D6" s="5" t="s">
        <v>87</v>
      </c>
      <c r="E6" s="5" t="s">
        <v>153</v>
      </c>
      <c r="F6" s="5" t="s">
        <v>154</v>
      </c>
      <c r="G6" s="5" t="b">
        <v>0</v>
      </c>
      <c r="H6" s="5" t="s">
        <v>147</v>
      </c>
      <c r="I6" s="5" t="b">
        <v>0</v>
      </c>
    </row>
    <row r="7" ht="70" customHeight="1" spans="1:9" x14ac:dyDescent="0.25">
      <c r="A7" s="5" t="s">
        <v>88</v>
      </c>
      <c r="B7" s="5" t="s">
        <v>89</v>
      </c>
      <c r="C7" s="7" t="s">
        <v>27</v>
      </c>
      <c r="D7" s="5" t="s">
        <v>91</v>
      </c>
      <c r="E7" s="5" t="s">
        <v>153</v>
      </c>
      <c r="F7" s="5" t="s">
        <v>154</v>
      </c>
      <c r="G7" s="5" t="b">
        <v>0</v>
      </c>
      <c r="H7" s="5" t="s">
        <v>147</v>
      </c>
      <c r="I7" s="5" t="b">
        <v>0</v>
      </c>
    </row>
    <row r="8" ht="70" customHeight="1" spans="1:9" x14ac:dyDescent="0.25">
      <c r="A8" s="5" t="s">
        <v>92</v>
      </c>
      <c r="B8" s="5" t="s">
        <v>93</v>
      </c>
      <c r="C8" s="7" t="s">
        <v>27</v>
      </c>
      <c r="D8" s="5" t="s">
        <v>95</v>
      </c>
      <c r="E8" s="5" t="s">
        <v>153</v>
      </c>
      <c r="F8" s="5" t="s">
        <v>154</v>
      </c>
      <c r="G8" s="5" t="b">
        <v>0</v>
      </c>
      <c r="H8" s="5" t="s">
        <v>147</v>
      </c>
      <c r="I8" s="5" t="b">
        <v>0</v>
      </c>
    </row>
    <row r="9" ht="70" customHeight="1" spans="1:9" x14ac:dyDescent="0.25">
      <c r="A9" s="5" t="s">
        <v>96</v>
      </c>
      <c r="B9" s="5" t="s">
        <v>97</v>
      </c>
      <c r="C9" s="7" t="s">
        <v>27</v>
      </c>
      <c r="D9" s="5" t="s">
        <v>99</v>
      </c>
      <c r="E9" s="5" t="s">
        <v>153</v>
      </c>
      <c r="F9" s="5" t="s">
        <v>154</v>
      </c>
      <c r="G9" s="5" t="b">
        <v>0</v>
      </c>
      <c r="H9" s="5" t="s">
        <v>147</v>
      </c>
      <c r="I9" s="5" t="b">
        <v>0</v>
      </c>
    </row>
    <row r="10" ht="70" customHeight="1" spans="1:9" x14ac:dyDescent="0.25">
      <c r="A10" s="5" t="s">
        <v>100</v>
      </c>
      <c r="B10" s="5" t="s">
        <v>101</v>
      </c>
      <c r="C10" s="7" t="s">
        <v>27</v>
      </c>
      <c r="D10" s="5" t="s">
        <v>103</v>
      </c>
      <c r="E10" s="5" t="s">
        <v>153</v>
      </c>
      <c r="F10" s="5" t="s">
        <v>154</v>
      </c>
      <c r="G10" s="5" t="b">
        <v>0</v>
      </c>
      <c r="H10" s="5" t="s">
        <v>147</v>
      </c>
      <c r="I10" s="5" t="b">
        <v>0</v>
      </c>
    </row>
    <row r="11" ht="70" customHeight="1" spans="1:9" x14ac:dyDescent="0.25">
      <c r="A11" s="5" t="s">
        <v>104</v>
      </c>
      <c r="B11" s="5" t="s">
        <v>105</v>
      </c>
      <c r="C11" s="7" t="s">
        <v>29</v>
      </c>
      <c r="D11" s="5" t="s">
        <v>108</v>
      </c>
      <c r="E11" s="5" t="s">
        <v>153</v>
      </c>
      <c r="F11" s="5" t="s">
        <v>154</v>
      </c>
      <c r="G11" s="5" t="b">
        <v>0</v>
      </c>
      <c r="H11" s="5" t="s">
        <v>147</v>
      </c>
      <c r="I11" s="5" t="b">
        <v>0</v>
      </c>
    </row>
    <row r="12" ht="70" customHeight="1" spans="1:9" x14ac:dyDescent="0.25">
      <c r="A12" s="5" t="s">
        <v>109</v>
      </c>
      <c r="B12" s="5" t="s">
        <v>110</v>
      </c>
      <c r="C12" s="7" t="s">
        <v>31</v>
      </c>
      <c r="D12" s="5" t="s">
        <v>112</v>
      </c>
      <c r="E12" s="5" t="s">
        <v>153</v>
      </c>
      <c r="F12" s="5" t="s">
        <v>154</v>
      </c>
      <c r="G12" s="5" t="b">
        <v>1</v>
      </c>
      <c r="H12" s="5" t="s">
        <v>147</v>
      </c>
      <c r="I12" s="5" t="b">
        <v>1</v>
      </c>
    </row>
    <row r="13" ht="70" customHeight="1" spans="1:9" x14ac:dyDescent="0.25">
      <c r="A13" s="5" t="s">
        <v>113</v>
      </c>
      <c r="B13" s="5" t="s">
        <v>114</v>
      </c>
      <c r="C13" s="7" t="s">
        <v>33</v>
      </c>
      <c r="D13" s="5" t="s">
        <v>116</v>
      </c>
      <c r="E13" s="5" t="s">
        <v>153</v>
      </c>
      <c r="F13" s="5" t="s">
        <v>154</v>
      </c>
      <c r="G13" s="5" t="b">
        <v>1</v>
      </c>
      <c r="H13" s="5" t="s">
        <v>147</v>
      </c>
      <c r="I13" s="5" t="b">
        <v>1</v>
      </c>
    </row>
    <row r="14" ht="70" customHeight="1" spans="1:9" x14ac:dyDescent="0.25">
      <c r="A14" s="5" t="s">
        <v>117</v>
      </c>
      <c r="B14" s="5" t="s">
        <v>118</v>
      </c>
      <c r="C14" s="7" t="s">
        <v>35</v>
      </c>
      <c r="D14" s="5" t="s">
        <v>121</v>
      </c>
      <c r="E14" s="5" t="s">
        <v>155</v>
      </c>
      <c r="F14" s="5" t="s">
        <v>156</v>
      </c>
      <c r="G14" s="5" t="b">
        <v>0</v>
      </c>
      <c r="H14" s="5" t="s">
        <v>148</v>
      </c>
      <c r="I14" s="5" t="b">
        <v>1</v>
      </c>
    </row>
    <row r="15" ht="70" customHeight="1" spans="1:9" x14ac:dyDescent="0.25">
      <c r="A15" s="5" t="s">
        <v>122</v>
      </c>
      <c r="B15" s="5" t="s">
        <v>123</v>
      </c>
      <c r="C15" s="7" t="s">
        <v>37</v>
      </c>
      <c r="D15" s="5" t="s">
        <v>126</v>
      </c>
      <c r="E15" s="5" t="s">
        <v>153</v>
      </c>
      <c r="F15" s="5" t="s">
        <v>154</v>
      </c>
      <c r="G15" s="5" t="b">
        <v>1</v>
      </c>
      <c r="H15" s="5" t="s">
        <v>147</v>
      </c>
      <c r="I15" s="5" t="b">
        <v>1</v>
      </c>
    </row>
    <row r="16" ht="70" customHeight="1" spans="1:9" x14ac:dyDescent="0.25">
      <c r="A16" s="5" t="s">
        <v>127</v>
      </c>
      <c r="B16" s="5" t="s">
        <v>128</v>
      </c>
      <c r="C16" s="7" t="s">
        <v>37</v>
      </c>
      <c r="D16" s="5" t="s">
        <v>130</v>
      </c>
      <c r="E16" s="5" t="s">
        <v>153</v>
      </c>
      <c r="F16" s="5" t="s">
        <v>154</v>
      </c>
      <c r="G16" s="5" t="b">
        <v>1</v>
      </c>
      <c r="H16" s="5" t="s">
        <v>147</v>
      </c>
      <c r="I16" s="5" t="b">
        <v>1</v>
      </c>
    </row>
  </sheetData>
  <autoFilter ref="A4:I16"/>
  <mergeCells count="2">
    <mergeCell ref="A1:I1"/>
    <mergeCell ref="A2:I2"/>
  </mergeCells>
  <dataValidations count="2">
    <dataValidation type="list" showErrorMessage="1" errorStyle="stop" errorTitle="位置づけを選択してください" error="プルダウンから比較上の位置づけを選択してください。" sqref="C10:C16">
      <formula1>"主要比較会社,補完比較会社,目標比較会社,非比較会社,類似するが除外した会社,純粋比較会社ではない会社"</formula1>
    </dataValidation>
    <dataValidation type="list" showErrorMessage="1" errorStyle="stop" errorTitle="位置づけを選択してください" error="プルダウンから比較上の位置づけを選択してください。" sqref="C5:C16">
      <formula1>"主要比較会社,補完比較会社,目標比較会社,非比較会社,類似するが除外した会社,純粋比較会社ではない会社"</formula1>
    </dataValidation>
  </dataValidations>
  <pageMargins left="0.25" right="0.25" top="0.5" bottom="0.5" header="0.2" footer="0.2"/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62" customWidth="1"/>
    <col min="3" max="3" width="32" customWidth="1"/>
    <col min="4" max="4" width="34" customWidth="1"/>
  </cols>
  <sheetData>
    <row r="1" ht="28" customHeight="1" spans="1:4" x14ac:dyDescent="0.25">
      <c r="A1" s="1" t="s">
        <v>157</v>
      </c>
      <c r="B1" s="1"/>
      <c r="C1" s="1"/>
      <c r="D1" s="1"/>
    </row>
    <row r="2" ht="30" customHeight="1" spans="1:4" x14ac:dyDescent="0.25">
      <c r="A2" s="2" t="s">
        <v>158</v>
      </c>
      <c r="B2" s="2"/>
      <c r="C2" s="2"/>
      <c r="D2" s="2"/>
    </row>
    <row r="4" ht="34" customHeight="1" spans="1:4" s="3" customFormat="1" x14ac:dyDescent="0.25">
      <c r="A4" s="4" t="s">
        <v>159</v>
      </c>
      <c r="B4" s="4" t="s">
        <v>160</v>
      </c>
      <c r="C4" s="4" t="s">
        <v>161</v>
      </c>
      <c r="D4" s="4" t="s">
        <v>162</v>
      </c>
    </row>
    <row r="5" ht="50" customHeight="1" spans="1:4" x14ac:dyDescent="0.25">
      <c r="A5" s="5" t="s">
        <v>163</v>
      </c>
      <c r="B5" s="5">
        <f>COUNTIF('比較上の位置づけ'!$C$5:$C$16,"主要比較会社")</f>
      </c>
      <c r="C5" s="5" t="s">
        <v>164</v>
      </c>
      <c r="D5" s="5" t="s">
        <v>147</v>
      </c>
    </row>
    <row r="6" ht="50" customHeight="1" spans="1:4" x14ac:dyDescent="0.25">
      <c r="A6" s="5" t="s">
        <v>21</v>
      </c>
      <c r="B6" s="5">
        <f>TEXTJOIN(", ",TRUE,IF('比較上の位置づけ'!$C$5:$C$16="主要比較会社",'比較上の位置づけ'!$B$5:$B$16,""))</f>
      </c>
      <c r="C6" s="5" t="s">
        <v>165</v>
      </c>
      <c r="D6" s="5" t="s">
        <v>147</v>
      </c>
    </row>
    <row r="7" ht="50" customHeight="1" spans="1:4" x14ac:dyDescent="0.25">
      <c r="A7" s="5" t="s">
        <v>166</v>
      </c>
      <c r="B7" s="5">
        <f>TEXTJOIN(", ",TRUE,IF('比較上の位置づけ'!$C$5:$C$16="補完比較会社",'比較上の位置づけ'!$B$5:$B$16,""))</f>
      </c>
      <c r="C7" s="5" t="s">
        <v>167</v>
      </c>
      <c r="D7" s="5" t="s">
        <v>147</v>
      </c>
    </row>
    <row r="8" ht="50" customHeight="1" spans="1:4" x14ac:dyDescent="0.25">
      <c r="A8" s="5" t="s">
        <v>168</v>
      </c>
      <c r="B8" s="5">
        <f>TEXTJOIN(", ",TRUE,IF(('比較上の位置づけ'!$C$5:$C$16="類似するが除外した会社")+('比較上の位置づけ'!$C$5:$C$16="純粋比較会社ではない会社"),'比較上の位置づけ'!$B$5:$B$16,""))</f>
      </c>
      <c r="C8" s="5" t="s">
        <v>169</v>
      </c>
      <c r="D8" s="5" t="s">
        <v>147</v>
      </c>
    </row>
    <row r="9" ht="50" customHeight="1" spans="1:4" x14ac:dyDescent="0.25">
      <c r="A9" s="5" t="s">
        <v>170</v>
      </c>
      <c r="B9" s="5">
        <f>COUNTIF('比較上の位置づけ'!$F$5:$F$16,"*未確認*")</f>
      </c>
      <c r="C9" s="5" t="s">
        <v>171</v>
      </c>
      <c r="D9" s="5" t="s">
        <v>147</v>
      </c>
    </row>
    <row r="10" ht="50" customHeight="1" spans="1:4" x14ac:dyDescent="0.25">
      <c r="A10" s="5" t="s">
        <v>172</v>
      </c>
      <c r="B10" s="7" t="s">
        <v>173</v>
      </c>
      <c r="C10" s="5" t="s">
        <v>174</v>
      </c>
      <c r="D10" s="5" t="s">
        <v>147</v>
      </c>
    </row>
  </sheetData>
  <autoFilter ref="A4:D10"/>
  <mergeCells count="2">
    <mergeCell ref="A1:D1"/>
    <mergeCell ref="A2:D2"/>
  </mergeCells>
  <pageMargins left="0.25" right="0.25" top="0.5" bottom="0.5" header="0.2" footer="0.2"/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38" customWidth="1"/>
  </cols>
  <sheetData>
    <row r="1" ht="28" customHeight="1" spans="1:3" x14ac:dyDescent="0.25">
      <c r="A1" s="1" t="s">
        <v>175</v>
      </c>
      <c r="B1" s="1"/>
      <c r="C1" s="1"/>
    </row>
    <row r="2" ht="30" customHeight="1" spans="1:3" x14ac:dyDescent="0.25">
      <c r="A2" s="2" t="s">
        <v>176</v>
      </c>
      <c r="B2" s="2"/>
      <c r="C2" s="2"/>
    </row>
    <row r="3" ht="34" customHeight="1" spans="1:3" s="3" customFormat="1" x14ac:dyDescent="0.25">
      <c r="A3" s="4" t="s">
        <v>175</v>
      </c>
      <c r="B3" s="4" t="s">
        <v>160</v>
      </c>
      <c r="C3" s="4" t="s">
        <v>177</v>
      </c>
    </row>
    <row r="4" spans="1:3" x14ac:dyDescent="0.25">
      <c r="A4" s="5" t="s">
        <v>178</v>
      </c>
      <c r="B4" s="5">
        <f>COUNTBLANK('比較上の位置づけ'!$C$5:$C$16)</f>
      </c>
      <c r="C4" s="5" t="s">
        <v>179</v>
      </c>
    </row>
    <row r="5" spans="1:3" x14ac:dyDescent="0.25">
      <c r="A5" s="5" t="s">
        <v>180</v>
      </c>
      <c r="B5" s="5">
        <f>COUNTBLANK('比較上の位置づけ'!$D$5:$D$16)</f>
      </c>
      <c r="C5" s="5" t="s">
        <v>179</v>
      </c>
    </row>
    <row r="6" spans="1:3" x14ac:dyDescent="0.25">
      <c r="A6" s="5" t="s">
        <v>181</v>
      </c>
      <c r="B6" s="5">
        <f>SUMPRODUCT((COUNTIF('比較上の位置づけ'!$A$5:$A$16,'比較上の位置づけ'!$A$5:$A$16)&gt;1)*1)</f>
      </c>
      <c r="C6" s="5" t="s">
        <v>179</v>
      </c>
    </row>
    <row r="7" spans="1:3" x14ac:dyDescent="0.25">
      <c r="A7" s="5" t="s">
        <v>182</v>
      </c>
      <c r="B7" s="5">
        <f>COUNTIFS('比較上の位置づけ'!$C$5:$C$16,"主要比較会社",'比較上の位置づけ'!$G$5:$G$16,TRUE)</f>
      </c>
      <c r="C7" s="5" t="s">
        <v>179</v>
      </c>
    </row>
    <row r="8" spans="1:3" x14ac:dyDescent="0.25">
      <c r="A8" s="5" t="s">
        <v>183</v>
      </c>
      <c r="B8" s="5">
        <f>COUNTIFS('比較上の位置づけ'!$C$5:$C$16,"主要比較会社",'比較上の位置づけ'!$H$5:$H$16,"?*")</f>
      </c>
      <c r="C8" s="5" t="s">
        <v>179</v>
      </c>
    </row>
    <row r="9" spans="1:3" x14ac:dyDescent="0.25">
      <c r="A9" s="5" t="s">
        <v>143</v>
      </c>
      <c r="B9" s="5">
        <f>COUNTIFS('比較上の位置づけ'!$C$5:$C$16,"主要比較会社",'比較上の位置づけ'!$I$5:$I$16,TRUE)</f>
      </c>
      <c r="C9" s="5" t="s">
        <v>179</v>
      </c>
    </row>
    <row r="10" spans="1:3" x14ac:dyDescent="0.25">
      <c r="A10" s="5" t="s">
        <v>163</v>
      </c>
      <c r="B10" s="5">
        <f>COUNTIF('比較上の位置づけ'!$C$5:$C$16,"主要比較会社")</f>
      </c>
      <c r="C10" s="5" t="s">
        <v>184</v>
      </c>
    </row>
    <row r="11" spans="1:3" x14ac:dyDescent="0.25">
      <c r="A11" s="5" t="s">
        <v>185</v>
      </c>
      <c r="B11" s="5">
        <f>COUNTA('比較上の位置づけ'!$A$5:$A$16)</f>
      </c>
      <c r="C11" s="5" t="s">
        <v>186</v>
      </c>
    </row>
    <row r="12" spans="1:3" x14ac:dyDescent="0.25">
      <c r="A12" s="5" t="s">
        <v>187</v>
      </c>
      <c r="B12" s="5" t="s">
        <v>153</v>
      </c>
      <c r="C12" s="5" t="s">
        <v>188</v>
      </c>
    </row>
  </sheetData>
  <autoFilter ref="A3:C12"/>
  <mergeCells count="2">
    <mergeCell ref="A1:C1"/>
    <mergeCell ref="A2:C2"/>
  </mergeCells>
  <conditionalFormatting sqref="B4:B4">
    <cfRule type="cellIs" dxfId="2" priority="1" operator="greaterThan">
      <formula>0</formula>
    </cfRule>
  </conditionalFormatting>
  <conditionalFormatting sqref="B5:B5">
    <cfRule type="cellIs" dxfId="3" priority="2" operator="greaterThan">
      <formula>0</formula>
    </cfRule>
  </conditionalFormatting>
  <conditionalFormatting sqref="B6:B6">
    <cfRule type="cellIs" dxfId="4" priority="3" operator="greaterThan">
      <formula>0</formula>
    </cfRule>
  </conditionalFormatting>
  <conditionalFormatting sqref="B7:B7">
    <cfRule type="cellIs" dxfId="5" priority="7" operator="greaterThan">
      <formula>0</formula>
    </cfRule>
  </conditionalFormatting>
  <conditionalFormatting sqref="B8:B8">
    <cfRule type="cellIs" dxfId="6" priority="8" operator="greaterThan">
      <formula>0</formula>
    </cfRule>
  </conditionalFormatting>
  <conditionalFormatting sqref="B9:B9">
    <cfRule type="cellIs" dxfId="7" priority="9" operator="greaterThan">
      <formula>0</formula>
    </cfRule>
  </conditionalFormatting>
  <pageMargins left="0.25" right="0.25" top="0.5" bottom="0.5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使い方</vt:lpstr>
      <vt:lpstr>対象会社の事業特性</vt:lpstr>
      <vt:lpstr>比較候補会社一覧</vt:lpstr>
      <vt:lpstr>比較会社選定表</vt:lpstr>
      <vt:lpstr>比較上の位置づけ</vt:lpstr>
      <vt:lpstr>検討記録</vt:lpstr>
      <vt:lpstr>チェック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M&amp;A Modeling Lab</dc:creator>
  <dc:title/>
  <dc:subject/>
  <dc:description/>
  <cp:keywords/>
  <cp:category/>
  <cp:lastModifiedBy>Unknown</cp:lastModifiedBy>
  <dcterms:created xsi:type="dcterms:W3CDTF">2026-07-19T15:00:00Z</dcterms:created>
  <dcterms:modified xsi:type="dcterms:W3CDTF">2026-07-19T15:00:00Z</dcterms:modified>
</cp:coreProperties>
</file>