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9000" firstSheet="0" activeTab="0"/>
  </bookViews>
  <sheets>
    <sheet sheetId="1" name="Cover" state="visible" r:id="rId4"/>
    <sheet sheetId="2" name="Inputs" state="visible" r:id="rId5"/>
    <sheet sheetId="3" name="Assumptions" state="visible" r:id="rId6"/>
    <sheet sheetId="4" name="PL" state="visible" r:id="rId7"/>
    <sheet sheetId="5" name="BS" state="visible" r:id="rId8"/>
    <sheet sheetId="6" name="CF" state="visible" r:id="rId9"/>
    <sheet sheetId="7" name="Schedules" state="visible" r:id="rId10"/>
    <sheet sheetId="8" name="DCF" state="visible" r:id="rId11"/>
    <sheet sheetId="9" name="Checks" state="visible" r:id="rId12"/>
  </sheets>
  <definedNames>
    <definedName name="_xlnm.Print_Area" localSheetId="0">'Cover'!$A1:$F15</definedName>
    <definedName name="_xlnm.Print_Area" localSheetId="1">'Inputs'!$A1:$F25</definedName>
    <definedName name="_xlnm.Print_Area" localSheetId="2">'Assumptions'!$A1:$C12</definedName>
    <definedName name="_xlnm.Print_Area" localSheetId="3">'PL'!$A1:$F9</definedName>
    <definedName name="_xlnm.Print_Area" localSheetId="4">'BS'!$A1:$F15</definedName>
    <definedName name="_xlnm.Print_Area" localSheetId="5">'CF'!$A1:$F11</definedName>
    <definedName name="_xlnm.Print_Area" localSheetId="6">'Schedules'!$A1:$F10</definedName>
    <definedName name="_xlnm.Print_Area" localSheetId="7">'DCF'!$A1:$G30</definedName>
    <definedName name="_xlnm.Print_Area" localSheetId="8">'Checks'!$A1:$D11</definedName>
  </definedNames>
  <calcPr calcId="171027" fullCalcOnLoad="1"/>
</workbook>
</file>

<file path=xl/sharedStrings.xml><?xml version="1.0" encoding="utf-8"?>
<sst xmlns="http://schemas.openxmlformats.org/spreadsheetml/2006/main" count="155" uniqueCount="98">
  <si>
    <t>DCF Valuation Model</t>
  </si>
  <si>
    <t>Educational sample | Shared DCF case | Unit: JPY million</t>
  </si>
  <si>
    <t>Model status</t>
  </si>
  <si>
    <t>Calculation integrity</t>
  </si>
  <si>
    <t>Decision readiness</t>
  </si>
  <si>
    <t>Valuation convention</t>
  </si>
  <si>
    <t>Period-end convention: each forecast year-end / 1–5 periods</t>
  </si>
  <si>
    <t>Use caution</t>
  </si>
  <si>
    <t>Inputs are an educational case, not live market data. Review sources and assumptions before any real transaction use.</t>
  </si>
  <si>
    <t>Inputs</t>
  </si>
  <si>
    <t>Blue cells are editable. Forecasts and valuation inputs come from the shared DCF educational case.</t>
  </si>
  <si>
    <t>Operating forecast</t>
  </si>
  <si>
    <t>FY2026</t>
  </si>
  <si>
    <t>FY2027</t>
  </si>
  <si>
    <t>FY2028</t>
  </si>
  <si>
    <t>FY2029</t>
  </si>
  <si>
    <t>FY2030</t>
  </si>
  <si>
    <t>Revenue</t>
  </si>
  <si>
    <t>EBIT</t>
  </si>
  <si>
    <t>Tax Rate</t>
  </si>
  <si>
    <t>D&amp;A</t>
  </si>
  <si>
    <t>Capex</t>
  </si>
  <si>
    <t>Increase in NWC</t>
  </si>
  <si>
    <t>Valuation and bridge inputs</t>
  </si>
  <si>
    <t>Value</t>
  </si>
  <si>
    <t>Risk-free Rate</t>
  </si>
  <si>
    <t>Equity Risk Premium</t>
  </si>
  <si>
    <t>Beta</t>
  </si>
  <si>
    <t>Pre-tax Cost of Debt</t>
  </si>
  <si>
    <t>Equity Weight</t>
  </si>
  <si>
    <t>Debt Weight</t>
  </si>
  <si>
    <t>Terminal Growth</t>
  </si>
  <si>
    <t>Cash</t>
  </si>
  <si>
    <t>Debt</t>
  </si>
  <si>
    <t>Debt-like Items</t>
  </si>
  <si>
    <t>Non-controlling Interests</t>
  </si>
  <si>
    <t>Assumptions</t>
  </si>
  <si>
    <t>Formula-driven WACC and valuation convention. WACC must exceed terminal growth.</t>
  </si>
  <si>
    <t>Assumption / calculation</t>
  </si>
  <si>
    <t>Definition / review</t>
  </si>
  <si>
    <t>Period-end convention</t>
  </si>
  <si>
    <t>Each forecast year-end / 1–5 periods</t>
  </si>
  <si>
    <t>Cost of Equity</t>
  </si>
  <si>
    <t>Risk-free Rate + Beta × Equity Risk Premium</t>
  </si>
  <si>
    <t>After-tax Cost of Debt</t>
  </si>
  <si>
    <t>Pre-tax Cost of Debt × (1 − Tax Rate)</t>
  </si>
  <si>
    <t>Capital Weights Sum</t>
  </si>
  <si>
    <t>Must equal 100.0%</t>
  </si>
  <si>
    <t>WACC</t>
  </si>
  <si>
    <t>Equity Weight × CoE + Debt Weight × After-tax CoD</t>
  </si>
  <si>
    <t>WACC &gt; g required</t>
  </si>
  <si>
    <t>PL</t>
  </si>
  <si>
    <t>Forecast operating results linked to Inputs. Unit: JPY million.</t>
  </si>
  <si>
    <t>Metric</t>
  </si>
  <si>
    <t>Tax on EBIT</t>
  </si>
  <si>
    <t>NOPAT</t>
  </si>
  <si>
    <t>BS</t>
  </si>
  <si>
    <t>Valuation-date balance sheet references and forecast working-capital movement. Unit: JPY million.</t>
  </si>
  <si>
    <t>Valuation-date bridge item</t>
  </si>
  <si>
    <t>Amount</t>
  </si>
  <si>
    <t>Treatment</t>
  </si>
  <si>
    <t>Add to EV</t>
  </si>
  <si>
    <t>Deduct from EV</t>
  </si>
  <si>
    <t>CF</t>
  </si>
  <si>
    <t>FCFF is calculated from EBIT after tax, D&amp;A, Capex and Increase in NWC. Unit: JPY million.</t>
  </si>
  <si>
    <t>FCFF</t>
  </si>
  <si>
    <t>Schedules</t>
  </si>
  <si>
    <t>Operating schedules and period-end discount factors. Unit: JPY million unless stated.</t>
  </si>
  <si>
    <t>Schedule</t>
  </si>
  <si>
    <t/>
  </si>
  <si>
    <t>Discount Period</t>
  </si>
  <si>
    <t>Discount Factor</t>
  </si>
  <si>
    <t>DCF</t>
  </si>
  <si>
    <t>Period-end DCF valuation, EV-to-Equity bridge and 5×5 WACC–growth sensitivity. Unit: JPY million.</t>
  </si>
  <si>
    <t>Valuation</t>
  </si>
  <si>
    <t>PV of FCFF</t>
  </si>
  <si>
    <t>PV of Explicit FCFF</t>
  </si>
  <si>
    <t>FCFF (n+1)</t>
  </si>
  <si>
    <t>Terminal Value</t>
  </si>
  <si>
    <t>PV of Terminal Value</t>
  </si>
  <si>
    <t>Enterprise Value</t>
  </si>
  <si>
    <t>Equity Value</t>
  </si>
  <si>
    <t>Enterprise Value Sensitivity</t>
  </si>
  <si>
    <t>WACC / g</t>
  </si>
  <si>
    <t>Checks</t>
  </si>
  <si>
    <t>Formula-driven model checks. Calculation integrity is distinct from decision readiness.</t>
  </si>
  <si>
    <t>Check</t>
  </si>
  <si>
    <t>Formula result</t>
  </si>
  <si>
    <t>Status</t>
  </si>
  <si>
    <t>Purpose</t>
  </si>
  <si>
    <t>Capital weights sum</t>
  </si>
  <si>
    <t>Equity and debt weights must total 100%.</t>
  </si>
  <si>
    <t>WACC &gt; Terminal Growth</t>
  </si>
  <si>
    <t>Gordon Growth denominator must remain positive.</t>
  </si>
  <si>
    <t>EV bridge</t>
  </si>
  <si>
    <t>Equity Value must reconcile to Enterprise Value adjustments.</t>
  </si>
  <si>
    <t>Formula-error count</t>
  </si>
  <si>
    <t>Counts formula errors in core calculation ranges.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</si>
</sst>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.0"/>
    <numFmt numFmtId="165" formatCode="0.0%"/>
    <numFmt numFmtId="166" formatCode="0.00x"/>
    <numFmt numFmtId="167" formatCode="#,##0.0;[Red](#,##0.0);-"/>
    <numFmt numFmtId="168" formatCode="0.0000x"/>
    <numFmt numFmtId="169" formatCode="0.0000"/>
  </numFmts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Yu Gothic"/>
    </font>
    <font>
      <i/>
      <color rgb="FF147D73"/>
      <sz val="10"/>
      <name val="Yu Gothic"/>
    </font>
    <font>
      <b/>
      <color rgb="FFFFFFFF"/>
      <name val="Yu Gothic"/>
    </font>
    <font>
      <color rgb="FF102235"/>
      <sz val="10"/>
      <name val="Yu Gothic"/>
    </font>
    <font>
      <b/>
      <color rgb="FF147D73"/>
      <name val="Yu Gothic"/>
    </font>
    <font>
      <b/>
      <color rgb="FFFFFFFF"/>
      <sz val="10"/>
      <name val="Yu Gothic"/>
    </font>
    <font>
      <color rgb="FF1F4E78"/>
      <sz val="10"/>
      <name val="Yu Gothic"/>
    </font>
    <font>
      <b/>
      <color rgb="FF147D73"/>
      <sz val="10"/>
      <name val="Yu Gothic"/>
    </font>
  </fonts>
  <fills count="8">
    <fill>
      <patternFill patternType="none"/>
    </fill>
    <fill>
      <patternFill patternType="gray125"/>
    </fill>
    <fill>
      <patternFill patternType="solid">
        <fgColor rgb="FF102235"/>
      </patternFill>
    </fill>
    <fill>
      <patternFill patternType="solid">
        <fgColor rgb="FF147D73"/>
      </patternFill>
    </fill>
    <fill>
      <patternFill patternType="solid">
        <fgColor rgb="FFE9F6EF"/>
      </patternFill>
    </fill>
    <fill>
      <patternFill patternType="solid">
        <fgColor rgb="FFFFF4D6"/>
      </patternFill>
    </fill>
    <fill>
      <patternFill patternType="solid">
        <fgColor rgb="FFE7F0FF"/>
      </patternFill>
    </fill>
    <fill>
      <patternFill patternType="solid">
        <fgColor rgb="FFF3F6F8"/>
      </patternFill>
    </fill>
  </fills>
  <borders count="2">
    <border>
      <left/>
      <right/>
      <top/>
      <bottom/>
      <diagonal/>
    </border>
    <border>
      <left style="thin">
        <color rgb="FFD8E0E5"/>
      </left>
      <right style="thin">
        <color rgb="FFD8E0E5"/>
      </right>
      <top style="thin">
        <color rgb="FFD8E0E5"/>
      </top>
      <bottom style="thin">
        <color rgb="FFD8E0E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vertical="center" wrapText="1"/>
    </xf>
    <xf numFmtId="165" fontId="7" fillId="6" borderId="1" xfId="0" applyNumberFormat="1" applyFont="1" applyFill="1" applyBorder="1" applyAlignment="1">
      <alignment vertical="center" wrapText="1"/>
    </xf>
    <xf numFmtId="10" fontId="7" fillId="6" borderId="1" xfId="0" applyNumberFormat="1" applyFont="1" applyFill="1" applyBorder="1" applyAlignment="1">
      <alignment vertical="center" wrapText="1"/>
    </xf>
    <xf numFmtId="166" fontId="7" fillId="6" borderId="1" xfId="0" applyNumberFormat="1" applyFont="1" applyFill="1" applyBorder="1" applyAlignment="1">
      <alignment vertical="center" wrapText="1"/>
    </xf>
    <xf numFmtId="10" fontId="4" fillId="7" borderId="1" xfId="0" applyNumberFormat="1" applyFont="1" applyFill="1" applyBorder="1" applyAlignment="1">
      <alignment vertical="center" wrapText="1"/>
    </xf>
    <xf numFmtId="10" fontId="4" fillId="4" borderId="1" xfId="0" applyNumberFormat="1" applyFont="1" applyFill="1" applyBorder="1" applyAlignment="1">
      <alignment vertical="center" wrapText="1"/>
    </xf>
    <xf numFmtId="167" fontId="4" fillId="7" borderId="1" xfId="0" applyNumberFormat="1" applyFont="1" applyFill="1" applyBorder="1" applyAlignment="1">
      <alignment vertical="center" wrapText="1"/>
    </xf>
    <xf numFmtId="167" fontId="4" fillId="4" borderId="1" xfId="0" applyNumberFormat="1" applyFont="1" applyFill="1" applyBorder="1" applyAlignment="1">
      <alignment vertical="center" wrapText="1"/>
    </xf>
    <xf numFmtId="168" fontId="4" fillId="7" borderId="1" xfId="0" applyNumberFormat="1" applyFont="1" applyFill="1" applyBorder="1" applyAlignment="1">
      <alignment vertical="center" wrapText="1"/>
    </xf>
    <xf numFmtId="167" fontId="8" fillId="4" borderId="1" xfId="0" applyNumberFormat="1" applyFont="1" applyFill="1" applyBorder="1" applyAlignment="1">
      <alignment vertical="center" wrapText="1"/>
    </xf>
    <xf numFmtId="10" fontId="6" fillId="3" borderId="1" xfId="0" applyNumberFormat="1" applyFont="1" applyFill="1" applyBorder="1" applyAlignment="1">
      <alignment horizontal="center" vertical="center" wrapText="1"/>
    </xf>
    <xf numFmtId="10" fontId="4" fillId="0" borderId="1" xfId="0" applyNumberFormat="1" applyFont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169" fontId="4" fillId="7" borderId="1" xfId="0" applyNumberFormat="1" applyFont="1" applyFill="1" applyBorder="1" applyAlignment="1">
      <alignment vertical="center" wrapText="1"/>
    </xf>
    <xf numFmtId="1" fontId="4" fillId="7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32" customWidth="1"/>
    <col min="4" max="6" width="16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30" customHeight="1" spans="1:6" x14ac:dyDescent="0.25">
      <c r="A2" s="2" t="s">
        <v>1</v>
      </c>
      <c r="B2" s="2"/>
      <c r="C2" s="2"/>
      <c r="D2" s="2"/>
      <c r="E2" s="2"/>
      <c r="F2" s="2"/>
    </row>
    <row r="4" spans="2:3" x14ac:dyDescent="0.25">
      <c r="B4" s="3" t="s">
        <v>2</v>
      </c>
      <c r="C4" s="4"/>
    </row>
    <row r="5" spans="2:3" x14ac:dyDescent="0.25">
      <c r="B5" s="4" t="s">
        <v>3</v>
      </c>
      <c r="C5" s="5" t="str">
        <f>Checks!B10</f>
        <v>OK</v>
      </c>
    </row>
    <row r="6" spans="2:3" x14ac:dyDescent="0.25">
      <c r="B6" s="4" t="s">
        <v>4</v>
      </c>
      <c r="C6" s="6" t="str">
        <f>Checks!B11</f>
        <v>Educational sample / source review required</v>
      </c>
    </row>
    <row r="7" spans="2:3" x14ac:dyDescent="0.25">
      <c r="B7" s="4"/>
      <c r="C7" s="4"/>
    </row>
    <row r="8" spans="2:3" x14ac:dyDescent="0.25">
      <c r="B8" s="4" t="s">
        <v>5</v>
      </c>
      <c r="C8" s="4" t="s">
        <v>6</v>
      </c>
    </row>
    <row r="9" spans="2:3" x14ac:dyDescent="0.25">
      <c r="B9" s="4"/>
      <c r="C9" s="4"/>
    </row>
    <row r="10" ht="48" customHeight="1" spans="2:3" x14ac:dyDescent="0.25">
      <c r="B10" s="4" t="s">
        <v>7</v>
      </c>
      <c r="C10" s="4" t="s">
        <v>8</v>
      </c>
    </row>
  </sheetData>
  <mergeCells count="2">
    <mergeCell ref="A1:F1"/>
    <mergeCell ref="A2:F2"/>
  </mergeCells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workbookViewId="0">
      <pane xSplit="1" ySplit="4" topLeftCell="B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24" customWidth="1"/>
    <col min="2" max="6" width="14" customWidth="1"/>
  </cols>
  <sheetData>
    <row r="1" ht="28" customHeight="1" spans="1:6" x14ac:dyDescent="0.25">
      <c r="A1" s="1" t="s">
        <v>9</v>
      </c>
      <c r="B1" s="1"/>
      <c r="C1" s="1"/>
      <c r="D1" s="1"/>
      <c r="E1" s="1"/>
      <c r="F1" s="1"/>
    </row>
    <row r="2" ht="30" customHeight="1" spans="1:6" x14ac:dyDescent="0.25">
      <c r="A2" s="2" t="s">
        <v>10</v>
      </c>
      <c r="B2" s="2"/>
      <c r="C2" s="2"/>
      <c r="D2" s="2"/>
      <c r="E2" s="2"/>
      <c r="F2" s="2"/>
    </row>
    <row r="4" ht="28" customHeight="1" spans="1:6" x14ac:dyDescent="0.25">
      <c r="A4" s="7" t="s">
        <v>11</v>
      </c>
      <c r="B4" s="7" t="s">
        <v>12</v>
      </c>
      <c r="C4" s="7" t="s">
        <v>13</v>
      </c>
      <c r="D4" s="7" t="s">
        <v>14</v>
      </c>
      <c r="E4" s="7" t="s">
        <v>15</v>
      </c>
      <c r="F4" s="7" t="s">
        <v>16</v>
      </c>
    </row>
    <row r="5" spans="1:6" x14ac:dyDescent="0.25">
      <c r="A5" s="4" t="s">
        <v>17</v>
      </c>
      <c r="B5" s="8">
        <v>1100</v>
      </c>
      <c r="C5" s="8">
        <v>1200</v>
      </c>
      <c r="D5" s="8">
        <v>1320</v>
      </c>
      <c r="E5" s="8">
        <v>1452</v>
      </c>
      <c r="F5" s="8">
        <v>1597.2</v>
      </c>
    </row>
    <row r="6" spans="1:6" x14ac:dyDescent="0.25">
      <c r="A6" s="4" t="s">
        <v>18</v>
      </c>
      <c r="B6" s="8">
        <v>120</v>
      </c>
      <c r="C6" s="8">
        <v>140</v>
      </c>
      <c r="D6" s="8">
        <v>160</v>
      </c>
      <c r="E6" s="8">
        <v>180</v>
      </c>
      <c r="F6" s="8">
        <v>200</v>
      </c>
    </row>
    <row r="7" spans="1:6" x14ac:dyDescent="0.25">
      <c r="A7" s="4" t="s">
        <v>19</v>
      </c>
      <c r="B7" s="9">
        <v>0.3</v>
      </c>
      <c r="C7" s="9">
        <v>0.3</v>
      </c>
      <c r="D7" s="9">
        <v>0.3</v>
      </c>
      <c r="E7" s="9">
        <v>0.3</v>
      </c>
      <c r="F7" s="9">
        <v>0.3</v>
      </c>
    </row>
    <row r="8" spans="1:6" x14ac:dyDescent="0.25">
      <c r="A8" s="4" t="s">
        <v>20</v>
      </c>
      <c r="B8" s="8">
        <v>30</v>
      </c>
      <c r="C8" s="8">
        <v>32</v>
      </c>
      <c r="D8" s="8">
        <v>34</v>
      </c>
      <c r="E8" s="8">
        <v>36</v>
      </c>
      <c r="F8" s="8">
        <v>38</v>
      </c>
    </row>
    <row r="9" spans="1:6" x14ac:dyDescent="0.25">
      <c r="A9" s="4" t="s">
        <v>21</v>
      </c>
      <c r="B9" s="8">
        <v>30</v>
      </c>
      <c r="C9" s="8">
        <v>32</v>
      </c>
      <c r="D9" s="8">
        <v>34</v>
      </c>
      <c r="E9" s="8">
        <v>36</v>
      </c>
      <c r="F9" s="8">
        <v>38</v>
      </c>
    </row>
    <row r="10" spans="1:6" x14ac:dyDescent="0.25">
      <c r="A10" s="4" t="s">
        <v>22</v>
      </c>
      <c r="B10" s="8">
        <v>7.2</v>
      </c>
      <c r="C10" s="8">
        <v>6.9</v>
      </c>
      <c r="D10" s="8">
        <v>7.9</v>
      </c>
      <c r="E10" s="8">
        <v>9.5</v>
      </c>
      <c r="F10" s="8">
        <v>7.7</v>
      </c>
    </row>
    <row r="13" ht="28" customHeight="1" spans="1:2" x14ac:dyDescent="0.25">
      <c r="A13" s="7" t="s">
        <v>23</v>
      </c>
      <c r="B13" s="7" t="s">
        <v>24</v>
      </c>
    </row>
    <row r="14" spans="1:2" x14ac:dyDescent="0.25">
      <c r="A14" s="4" t="s">
        <v>25</v>
      </c>
      <c r="B14" s="10">
        <v>0.015</v>
      </c>
    </row>
    <row r="15" spans="1:2" x14ac:dyDescent="0.25">
      <c r="A15" s="4" t="s">
        <v>26</v>
      </c>
      <c r="B15" s="10">
        <v>0.06</v>
      </c>
    </row>
    <row r="16" spans="1:2" x14ac:dyDescent="0.25">
      <c r="A16" s="4" t="s">
        <v>27</v>
      </c>
      <c r="B16" s="11">
        <v>1.1</v>
      </c>
    </row>
    <row r="17" spans="1:2" x14ac:dyDescent="0.25">
      <c r="A17" s="4" t="s">
        <v>28</v>
      </c>
      <c r="B17" s="10">
        <v>0.025</v>
      </c>
    </row>
    <row r="18" spans="1:2" x14ac:dyDescent="0.25">
      <c r="A18" s="4" t="s">
        <v>19</v>
      </c>
      <c r="B18" s="9">
        <v>0.3</v>
      </c>
    </row>
    <row r="19" spans="1:2" x14ac:dyDescent="0.25">
      <c r="A19" s="4" t="s">
        <v>29</v>
      </c>
      <c r="B19" s="9">
        <v>0.75</v>
      </c>
    </row>
    <row r="20" spans="1:2" x14ac:dyDescent="0.25">
      <c r="A20" s="4" t="s">
        <v>30</v>
      </c>
      <c r="B20" s="9">
        <v>0.25</v>
      </c>
    </row>
    <row r="21" spans="1:2" x14ac:dyDescent="0.25">
      <c r="A21" s="4" t="s">
        <v>31</v>
      </c>
      <c r="B21" s="9">
        <v>0.015</v>
      </c>
    </row>
    <row r="22" spans="1:2" x14ac:dyDescent="0.25">
      <c r="A22" s="4" t="s">
        <v>32</v>
      </c>
      <c r="B22" s="8">
        <v>100</v>
      </c>
    </row>
    <row r="23" spans="1:2" x14ac:dyDescent="0.25">
      <c r="A23" s="4" t="s">
        <v>33</v>
      </c>
      <c r="B23" s="8">
        <v>350</v>
      </c>
    </row>
    <row r="24" spans="1:2" x14ac:dyDescent="0.25">
      <c r="A24" s="4" t="s">
        <v>34</v>
      </c>
      <c r="B24" s="8">
        <v>20</v>
      </c>
    </row>
    <row r="25" spans="1:2" x14ac:dyDescent="0.25">
      <c r="A25" s="4" t="s">
        <v>35</v>
      </c>
      <c r="B25" s="8">
        <v>10</v>
      </c>
    </row>
  </sheetData>
  <mergeCells count="2">
    <mergeCell ref="A1:F1"/>
    <mergeCell ref="A2:F2"/>
  </mergeCells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>
      <pane xSplit="1" ySplit="4" topLeftCell="B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32" customWidth="1"/>
  </cols>
  <sheetData>
    <row r="1" ht="28" customHeight="1" spans="1:3" x14ac:dyDescent="0.25">
      <c r="A1" s="1" t="s">
        <v>36</v>
      </c>
      <c r="B1" s="1"/>
      <c r="C1" s="1"/>
    </row>
    <row r="2" ht="30" customHeight="1" spans="1:3" x14ac:dyDescent="0.25">
      <c r="A2" s="2" t="s">
        <v>37</v>
      </c>
      <c r="B2" s="2"/>
      <c r="C2" s="2"/>
    </row>
    <row r="4" ht="28" customHeight="1" spans="1:3" x14ac:dyDescent="0.25">
      <c r="A4" s="7" t="s">
        <v>38</v>
      </c>
      <c r="B4" s="7" t="s">
        <v>24</v>
      </c>
      <c r="C4" s="7" t="s">
        <v>39</v>
      </c>
    </row>
    <row r="5" spans="1:3" x14ac:dyDescent="0.25">
      <c r="A5" s="4" t="s">
        <v>5</v>
      </c>
      <c r="B5" s="4" t="s">
        <v>40</v>
      </c>
      <c r="C5" s="4" t="s">
        <v>41</v>
      </c>
    </row>
    <row r="6" spans="1:3" x14ac:dyDescent="0.25">
      <c r="A6" s="4"/>
      <c r="B6" s="4"/>
      <c r="C6" s="4"/>
    </row>
    <row r="7" spans="1:3" x14ac:dyDescent="0.25">
      <c r="A7" s="4"/>
      <c r="B7" s="4"/>
      <c r="C7" s="4"/>
    </row>
    <row r="8" spans="1:3" x14ac:dyDescent="0.25">
      <c r="A8" s="4" t="s">
        <v>42</v>
      </c>
      <c r="B8" s="12">
        <f>Inputs!B14+Inputs!B16*Inputs!B15</f>
        <v>0.081</v>
      </c>
      <c r="C8" s="4" t="s">
        <v>43</v>
      </c>
    </row>
    <row r="9" spans="1:3" x14ac:dyDescent="0.25">
      <c r="A9" s="4" t="s">
        <v>44</v>
      </c>
      <c r="B9" s="12">
        <f>Inputs!B17*(1-Inputs!B18)</f>
        <v>0.017499999999999998</v>
      </c>
      <c r="C9" s="4" t="s">
        <v>45</v>
      </c>
    </row>
    <row r="10" spans="1:3" x14ac:dyDescent="0.25">
      <c r="A10" s="4" t="s">
        <v>46</v>
      </c>
      <c r="B10" s="12">
        <f>Inputs!B19+Inputs!B20</f>
        <v>1</v>
      </c>
      <c r="C10" s="4" t="s">
        <v>47</v>
      </c>
    </row>
    <row r="11" spans="1:3" x14ac:dyDescent="0.25">
      <c r="A11" s="4" t="s">
        <v>48</v>
      </c>
      <c r="B11" s="13">
        <f>Inputs!B19*B8+Inputs!B20*B9</f>
        <v>0.065125</v>
      </c>
      <c r="C11" s="4" t="s">
        <v>49</v>
      </c>
    </row>
    <row r="12" spans="1:3" x14ac:dyDescent="0.25">
      <c r="A12" s="4" t="s">
        <v>31</v>
      </c>
      <c r="B12" s="12">
        <f>Inputs!B21</f>
        <v>0.015</v>
      </c>
      <c r="C12" s="4" t="s">
        <v>50</v>
      </c>
    </row>
  </sheetData>
  <mergeCells count="2">
    <mergeCell ref="A1:C1"/>
    <mergeCell ref="A2:C2"/>
  </mergeCells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>
      <pane xSplit="1" ySplit="4" topLeftCell="B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24" customWidth="1"/>
    <col min="2" max="6" width="14" customWidth="1"/>
  </cols>
  <sheetData>
    <row r="1" ht="28" customHeight="1" spans="1:6" x14ac:dyDescent="0.25">
      <c r="A1" s="1" t="s">
        <v>51</v>
      </c>
      <c r="B1" s="1"/>
      <c r="C1" s="1"/>
      <c r="D1" s="1"/>
      <c r="E1" s="1"/>
      <c r="F1" s="1"/>
    </row>
    <row r="2" ht="30" customHeight="1" spans="1:6" x14ac:dyDescent="0.25">
      <c r="A2" s="2" t="s">
        <v>52</v>
      </c>
      <c r="B2" s="2"/>
      <c r="C2" s="2"/>
      <c r="D2" s="2"/>
      <c r="E2" s="2"/>
      <c r="F2" s="2"/>
    </row>
    <row r="4" ht="28" customHeight="1" spans="1:6" x14ac:dyDescent="0.25">
      <c r="A4" s="7" t="s">
        <v>53</v>
      </c>
      <c r="B4" s="7" t="s">
        <v>12</v>
      </c>
      <c r="C4" s="7" t="s">
        <v>13</v>
      </c>
      <c r="D4" s="7" t="s">
        <v>14</v>
      </c>
      <c r="E4" s="7" t="s">
        <v>15</v>
      </c>
      <c r="F4" s="7" t="s">
        <v>16</v>
      </c>
    </row>
    <row r="5" spans="1:6" x14ac:dyDescent="0.25">
      <c r="A5" s="4" t="s">
        <v>17</v>
      </c>
      <c r="B5" s="14">
        <f>Inputs!B5</f>
        <v>1100</v>
      </c>
      <c r="C5" s="14">
        <f>Inputs!C5</f>
        <v>1200</v>
      </c>
      <c r="D5" s="14">
        <f>Inputs!D5</f>
        <v>1320</v>
      </c>
      <c r="E5" s="14">
        <f>Inputs!E5</f>
        <v>1452</v>
      </c>
      <c r="F5" s="14">
        <f>Inputs!F5</f>
        <v>1597.2</v>
      </c>
    </row>
    <row r="6" spans="1:6" x14ac:dyDescent="0.25">
      <c r="A6" s="4" t="s">
        <v>18</v>
      </c>
      <c r="B6" s="14">
        <f>Inputs!B6</f>
        <v>120</v>
      </c>
      <c r="C6" s="14">
        <f>Inputs!C6</f>
        <v>140</v>
      </c>
      <c r="D6" s="14">
        <f>Inputs!D6</f>
        <v>160</v>
      </c>
      <c r="E6" s="14">
        <f>Inputs!E6</f>
        <v>180</v>
      </c>
      <c r="F6" s="14">
        <f>Inputs!F6</f>
        <v>200</v>
      </c>
    </row>
    <row r="7" spans="1:6" x14ac:dyDescent="0.25">
      <c r="A7" s="4" t="s">
        <v>19</v>
      </c>
      <c r="B7" s="12">
        <f>Inputs!B7</f>
        <v>0.3</v>
      </c>
      <c r="C7" s="12">
        <f>Inputs!C7</f>
        <v>0.3</v>
      </c>
      <c r="D7" s="12">
        <f>Inputs!D7</f>
        <v>0.3</v>
      </c>
      <c r="E7" s="12">
        <f>Inputs!E7</f>
        <v>0.3</v>
      </c>
      <c r="F7" s="12">
        <f>Inputs!F7</f>
        <v>0.3</v>
      </c>
    </row>
    <row r="8" spans="1:6" x14ac:dyDescent="0.25">
      <c r="A8" s="4" t="s">
        <v>54</v>
      </c>
      <c r="B8" s="14">
        <f>-B6*B7</f>
        <v>-36</v>
      </c>
      <c r="C8" s="14">
        <f>-C6*C7</f>
        <v>-42</v>
      </c>
      <c r="D8" s="14">
        <f>-D6*D7</f>
        <v>-48</v>
      </c>
      <c r="E8" s="14">
        <f>-E6*E7</f>
        <v>-54</v>
      </c>
      <c r="F8" s="14">
        <f>-F6*F7</f>
        <v>-60</v>
      </c>
    </row>
    <row r="9" spans="1:6" x14ac:dyDescent="0.25">
      <c r="A9" s="4" t="s">
        <v>55</v>
      </c>
      <c r="B9" s="14">
        <f>B6+B8</f>
        <v>84</v>
      </c>
      <c r="C9" s="14">
        <f>C6+C8</f>
        <v>98</v>
      </c>
      <c r="D9" s="14">
        <f>D6+D8</f>
        <v>112</v>
      </c>
      <c r="E9" s="14">
        <f>E6+E8</f>
        <v>125.99999999999999</v>
      </c>
      <c r="F9" s="14">
        <f>F6+F8</f>
        <v>140</v>
      </c>
    </row>
  </sheetData>
  <mergeCells count="2">
    <mergeCell ref="A1:F1"/>
    <mergeCell ref="A2:F2"/>
  </mergeCells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>
      <pane xSplit="1" ySplit="4" topLeftCell="B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28" customWidth="1"/>
    <col min="2" max="6" width="18" customWidth="1"/>
  </cols>
  <sheetData>
    <row r="1" ht="28" customHeight="1" spans="1:6" x14ac:dyDescent="0.25">
      <c r="A1" s="1" t="s">
        <v>56</v>
      </c>
      <c r="B1" s="1"/>
      <c r="C1" s="1"/>
      <c r="D1" s="1"/>
      <c r="E1" s="1"/>
      <c r="F1" s="1"/>
    </row>
    <row r="2" ht="30" customHeight="1" spans="1:6" x14ac:dyDescent="0.25">
      <c r="A2" s="2" t="s">
        <v>57</v>
      </c>
      <c r="B2" s="2"/>
      <c r="C2" s="2"/>
      <c r="D2" s="2"/>
      <c r="E2" s="2"/>
      <c r="F2" s="2"/>
    </row>
    <row r="4" ht="28" customHeight="1" spans="1:3" x14ac:dyDescent="0.25">
      <c r="A4" s="7" t="s">
        <v>58</v>
      </c>
      <c r="B4" s="7" t="s">
        <v>59</v>
      </c>
      <c r="C4" s="7" t="s">
        <v>60</v>
      </c>
    </row>
    <row r="5" spans="1:3" x14ac:dyDescent="0.25">
      <c r="A5" s="4" t="s">
        <v>32</v>
      </c>
      <c r="B5" s="14">
        <f>Inputs!B22</f>
        <v>100</v>
      </c>
      <c r="C5" s="4" t="s">
        <v>61</v>
      </c>
    </row>
    <row r="6" spans="1:3" x14ac:dyDescent="0.25">
      <c r="A6" s="4" t="s">
        <v>33</v>
      </c>
      <c r="B6" s="14">
        <f>Inputs!B23</f>
        <v>350</v>
      </c>
      <c r="C6" s="4" t="s">
        <v>62</v>
      </c>
    </row>
    <row r="7" spans="1:3" x14ac:dyDescent="0.25">
      <c r="A7" s="4" t="s">
        <v>34</v>
      </c>
      <c r="B7" s="14">
        <f>Inputs!B24</f>
        <v>20</v>
      </c>
      <c r="C7" s="4" t="s">
        <v>62</v>
      </c>
    </row>
    <row r="8" spans="1:3" x14ac:dyDescent="0.25">
      <c r="A8" s="4" t="s">
        <v>35</v>
      </c>
      <c r="B8" s="14">
        <f>Inputs!B25</f>
        <v>10</v>
      </c>
      <c r="C8" s="4" t="s">
        <v>62</v>
      </c>
    </row>
    <row r="11" ht="28" customHeight="1" spans="1:6" x14ac:dyDescent="0.25">
      <c r="A11" s="7" t="s">
        <v>22</v>
      </c>
      <c r="B11" s="7" t="s">
        <v>12</v>
      </c>
      <c r="C11" s="7" t="s">
        <v>13</v>
      </c>
      <c r="D11" s="7" t="s">
        <v>14</v>
      </c>
      <c r="E11" s="7" t="s">
        <v>15</v>
      </c>
      <c r="F11" s="7" t="s">
        <v>16</v>
      </c>
    </row>
    <row r="12" spans="1:6" x14ac:dyDescent="0.25">
      <c r="A12" s="4"/>
      <c r="B12" s="14">
        <f>Inputs!B10</f>
        <v>7.2</v>
      </c>
      <c r="C12" s="14">
        <f>Inputs!C10</f>
        <v>6.9</v>
      </c>
      <c r="D12" s="14">
        <f>Inputs!D10</f>
        <v>7.9</v>
      </c>
      <c r="E12" s="14">
        <f>Inputs!E10</f>
        <v>9.5</v>
      </c>
      <c r="F12" s="14">
        <f>Inputs!F10</f>
        <v>7.7</v>
      </c>
    </row>
  </sheetData>
  <mergeCells count="2">
    <mergeCell ref="A1:F1"/>
    <mergeCell ref="A2:F2"/>
  </mergeCells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>
      <pane xSplit="1" ySplit="4" topLeftCell="B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24" customWidth="1"/>
    <col min="2" max="6" width="14" customWidth="1"/>
  </cols>
  <sheetData>
    <row r="1" ht="28" customHeight="1" spans="1:6" x14ac:dyDescent="0.25">
      <c r="A1" s="1" t="s">
        <v>63</v>
      </c>
      <c r="B1" s="1"/>
      <c r="C1" s="1"/>
      <c r="D1" s="1"/>
      <c r="E1" s="1"/>
      <c r="F1" s="1"/>
    </row>
    <row r="2" ht="30" customHeight="1" spans="1:6" x14ac:dyDescent="0.25">
      <c r="A2" s="2" t="s">
        <v>64</v>
      </c>
      <c r="B2" s="2"/>
      <c r="C2" s="2"/>
      <c r="D2" s="2"/>
      <c r="E2" s="2"/>
      <c r="F2" s="2"/>
    </row>
    <row r="4" ht="28" customHeight="1" spans="1:6" x14ac:dyDescent="0.25">
      <c r="A4" s="7" t="s">
        <v>53</v>
      </c>
      <c r="B4" s="7" t="s">
        <v>12</v>
      </c>
      <c r="C4" s="7" t="s">
        <v>13</v>
      </c>
      <c r="D4" s="7" t="s">
        <v>14</v>
      </c>
      <c r="E4" s="7" t="s">
        <v>15</v>
      </c>
      <c r="F4" s="7" t="s">
        <v>16</v>
      </c>
    </row>
    <row r="5" spans="1:6" x14ac:dyDescent="0.25">
      <c r="A5" s="4" t="s">
        <v>18</v>
      </c>
      <c r="B5" s="14">
        <f>PL!B6</f>
        <v>120</v>
      </c>
      <c r="C5" s="14">
        <f>PL!C6</f>
        <v>140</v>
      </c>
      <c r="D5" s="14">
        <f>PL!D6</f>
        <v>160</v>
      </c>
      <c r="E5" s="14">
        <f>PL!E6</f>
        <v>180</v>
      </c>
      <c r="F5" s="14">
        <f>PL!F6</f>
        <v>200</v>
      </c>
    </row>
    <row r="6" spans="1:6" x14ac:dyDescent="0.25">
      <c r="A6" s="4" t="s">
        <v>19</v>
      </c>
      <c r="B6" s="12">
        <f>Inputs!B7</f>
        <v>0.3</v>
      </c>
      <c r="C6" s="12">
        <f>Inputs!C7</f>
        <v>0.3</v>
      </c>
      <c r="D6" s="12">
        <f>Inputs!D7</f>
        <v>0.3</v>
      </c>
      <c r="E6" s="12">
        <f>Inputs!E7</f>
        <v>0.3</v>
      </c>
      <c r="F6" s="12">
        <f>Inputs!F7</f>
        <v>0.3</v>
      </c>
    </row>
    <row r="7" spans="1:6" x14ac:dyDescent="0.25">
      <c r="A7" s="4" t="s">
        <v>55</v>
      </c>
      <c r="B7" s="14">
        <f>B5*(1-B6)</f>
        <v>84</v>
      </c>
      <c r="C7" s="14">
        <f>C5*(1-C6)</f>
        <v>98</v>
      </c>
      <c r="D7" s="14">
        <f>D5*(1-D6)</f>
        <v>112</v>
      </c>
      <c r="E7" s="14">
        <f>E5*(1-E6)</f>
        <v>125.99999999999999</v>
      </c>
      <c r="F7" s="14">
        <f>F5*(1-F6)</f>
        <v>140</v>
      </c>
    </row>
    <row r="8" spans="1:6" x14ac:dyDescent="0.25">
      <c r="A8" s="4" t="s">
        <v>20</v>
      </c>
      <c r="B8" s="14">
        <f>Inputs!B8</f>
        <v>30</v>
      </c>
      <c r="C8" s="14">
        <f>Inputs!C8</f>
        <v>32</v>
      </c>
      <c r="D8" s="14">
        <f>Inputs!D8</f>
        <v>34</v>
      </c>
      <c r="E8" s="14">
        <f>Inputs!E8</f>
        <v>36</v>
      </c>
      <c r="F8" s="14">
        <f>Inputs!F8</f>
        <v>38</v>
      </c>
    </row>
    <row r="9" spans="1:6" x14ac:dyDescent="0.25">
      <c r="A9" s="4" t="s">
        <v>21</v>
      </c>
      <c r="B9" s="14">
        <f>Inputs!B9</f>
        <v>30</v>
      </c>
      <c r="C9" s="14">
        <f>Inputs!C9</f>
        <v>32</v>
      </c>
      <c r="D9" s="14">
        <f>Inputs!D9</f>
        <v>34</v>
      </c>
      <c r="E9" s="14">
        <f>Inputs!E9</f>
        <v>36</v>
      </c>
      <c r="F9" s="14">
        <f>Inputs!F9</f>
        <v>38</v>
      </c>
    </row>
    <row r="10" spans="1:6" x14ac:dyDescent="0.25">
      <c r="A10" s="4" t="s">
        <v>22</v>
      </c>
      <c r="B10" s="14">
        <f>Inputs!B10</f>
        <v>7.2</v>
      </c>
      <c r="C10" s="14">
        <f>Inputs!C10</f>
        <v>6.9</v>
      </c>
      <c r="D10" s="14">
        <f>Inputs!D10</f>
        <v>7.9</v>
      </c>
      <c r="E10" s="14">
        <f>Inputs!E10</f>
        <v>9.5</v>
      </c>
      <c r="F10" s="14">
        <f>Inputs!F10</f>
        <v>7.7</v>
      </c>
    </row>
    <row r="11" spans="1:6" x14ac:dyDescent="0.25">
      <c r="A11" s="4" t="s">
        <v>65</v>
      </c>
      <c r="B11" s="15">
        <f>B5*(1-B6)+B8-B9-B10</f>
        <v>76.8</v>
      </c>
      <c r="C11" s="15">
        <f>C5*(1-C6)+C8-C9-C10</f>
        <v>91.1</v>
      </c>
      <c r="D11" s="15">
        <f>D5*(1-D6)+D8-D9-D10</f>
        <v>104.1</v>
      </c>
      <c r="E11" s="15">
        <f>E5*(1-E6)+E8-E9-E10</f>
        <v>116.5</v>
      </c>
      <c r="F11" s="15">
        <f>F5*(1-F6)+F8-F9-F10</f>
        <v>132.3</v>
      </c>
    </row>
  </sheetData>
  <mergeCells count="2">
    <mergeCell ref="A1:F1"/>
    <mergeCell ref="A2:F2"/>
  </mergeCells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workbookViewId="0">
      <pane xSplit="1" ySplit="4" topLeftCell="B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24" customWidth="1"/>
    <col min="2" max="6" width="14" customWidth="1"/>
  </cols>
  <sheetData>
    <row r="1" ht="28" customHeight="1" spans="1:6" x14ac:dyDescent="0.25">
      <c r="A1" s="1" t="s">
        <v>66</v>
      </c>
      <c r="B1" s="1"/>
      <c r="C1" s="1"/>
      <c r="D1" s="1"/>
      <c r="E1" s="1"/>
      <c r="F1" s="1"/>
    </row>
    <row r="2" ht="30" customHeight="1" spans="1:6" x14ac:dyDescent="0.25">
      <c r="A2" s="2" t="s">
        <v>67</v>
      </c>
      <c r="B2" s="2"/>
      <c r="C2" s="2"/>
      <c r="D2" s="2"/>
      <c r="E2" s="2"/>
      <c r="F2" s="2"/>
    </row>
    <row r="4" ht="28" customHeight="1" spans="1:6" x14ac:dyDescent="0.25">
      <c r="A4" s="7" t="s">
        <v>68</v>
      </c>
      <c r="B4" s="7" t="s">
        <v>12</v>
      </c>
      <c r="C4" s="7" t="s">
        <v>13</v>
      </c>
      <c r="D4" s="7" t="s">
        <v>14</v>
      </c>
      <c r="E4" s="7" t="s">
        <v>15</v>
      </c>
      <c r="F4" s="7" t="s">
        <v>16</v>
      </c>
    </row>
    <row r="5" spans="1:6" x14ac:dyDescent="0.25">
      <c r="A5" s="4" t="s">
        <v>20</v>
      </c>
      <c r="B5" s="14">
        <f>Inputs!B8</f>
        <v>30</v>
      </c>
      <c r="C5" s="14">
        <f>Inputs!C8</f>
        <v>32</v>
      </c>
      <c r="D5" s="14">
        <f>Inputs!D8</f>
        <v>34</v>
      </c>
      <c r="E5" s="14">
        <f>Inputs!E8</f>
        <v>36</v>
      </c>
      <c r="F5" s="14">
        <f>Inputs!F8</f>
        <v>38</v>
      </c>
    </row>
    <row r="6" spans="1:6" x14ac:dyDescent="0.25">
      <c r="A6" s="4" t="s">
        <v>21</v>
      </c>
      <c r="B6" s="14">
        <f>Inputs!B9</f>
        <v>30</v>
      </c>
      <c r="C6" s="14">
        <f>Inputs!C9</f>
        <v>32</v>
      </c>
      <c r="D6" s="14">
        <f>Inputs!D9</f>
        <v>34</v>
      </c>
      <c r="E6" s="14">
        <f>Inputs!E9</f>
        <v>36</v>
      </c>
      <c r="F6" s="14">
        <f>Inputs!F9</f>
        <v>38</v>
      </c>
    </row>
    <row r="7" spans="1:6" x14ac:dyDescent="0.25">
      <c r="A7" s="4" t="s">
        <v>22</v>
      </c>
      <c r="B7" s="14">
        <f>Inputs!B10</f>
        <v>7.2</v>
      </c>
      <c r="C7" s="14">
        <f>Inputs!C10</f>
        <v>6.9</v>
      </c>
      <c r="D7" s="14">
        <f>Inputs!D10</f>
        <v>7.9</v>
      </c>
      <c r="E7" s="14">
        <f>Inputs!E10</f>
        <v>9.5</v>
      </c>
      <c r="F7" s="14">
        <f>Inputs!F10</f>
        <v>7.7</v>
      </c>
    </row>
    <row r="8" spans="1:6" x14ac:dyDescent="0.25">
      <c r="A8" s="4" t="s">
        <v>69</v>
      </c>
      <c r="B8" s="4"/>
      <c r="C8" s="4"/>
      <c r="D8" s="4"/>
      <c r="E8" s="4"/>
      <c r="F8" s="4"/>
    </row>
    <row r="9" spans="1:6" x14ac:dyDescent="0.25">
      <c r="A9" s="4" t="s">
        <v>70</v>
      </c>
      <c r="B9" s="4">
        <v>1</v>
      </c>
      <c r="C9" s="4">
        <v>2</v>
      </c>
      <c r="D9" s="4">
        <v>3</v>
      </c>
      <c r="E9" s="4">
        <v>4</v>
      </c>
      <c r="F9" s="4">
        <v>5</v>
      </c>
    </row>
    <row r="10" spans="1:6" x14ac:dyDescent="0.25">
      <c r="A10" s="4" t="s">
        <v>71</v>
      </c>
      <c r="B10" s="16">
        <f>1/(1+Assumptions!$B$11)^B9</f>
        <v>0.9388569416735124</v>
      </c>
      <c r="C10" s="16">
        <f>1/(1+Assumptions!$B$11)^C9</f>
        <v>0.8814523569285412</v>
      </c>
      <c r="D10" s="16">
        <f>1/(1+Assumptions!$B$11)^D9</f>
        <v>0.8275576640568393</v>
      </c>
      <c r="E10" s="16">
        <f>1/(1+Assumptions!$B$11)^E9</f>
        <v>0.7769582575348801</v>
      </c>
      <c r="F10" s="16">
        <f>1/(1+Assumptions!$B$11)^F9</f>
        <v>0.7294526534771788</v>
      </c>
    </row>
  </sheetData>
  <mergeCells count="2">
    <mergeCell ref="A1:F1"/>
    <mergeCell ref="A2:F2"/>
  </mergeCells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workbookViewId="0">
      <pane xSplit="1" ySplit="4" topLeftCell="B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28" customWidth="1"/>
    <col min="2" max="7" width="16" customWidth="1"/>
  </cols>
  <sheetData>
    <row r="1" ht="28" customHeight="1" spans="1:7" x14ac:dyDescent="0.25">
      <c r="A1" s="1" t="s">
        <v>72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73</v>
      </c>
      <c r="B2" s="2"/>
      <c r="C2" s="2"/>
      <c r="D2" s="2"/>
      <c r="E2" s="2"/>
      <c r="F2" s="2"/>
      <c r="G2" s="2"/>
    </row>
    <row r="4" ht="28" customHeight="1" spans="1:6" x14ac:dyDescent="0.25">
      <c r="A4" s="7" t="s">
        <v>74</v>
      </c>
      <c r="B4" s="7" t="s">
        <v>12</v>
      </c>
      <c r="C4" s="7" t="s">
        <v>13</v>
      </c>
      <c r="D4" s="7" t="s">
        <v>14</v>
      </c>
      <c r="E4" s="7" t="s">
        <v>15</v>
      </c>
      <c r="F4" s="7" t="s">
        <v>16</v>
      </c>
    </row>
    <row r="5" spans="1:6" x14ac:dyDescent="0.25">
      <c r="A5" s="4" t="s">
        <v>65</v>
      </c>
      <c r="B5" s="14">
        <f>CF!B11</f>
        <v>76.8</v>
      </c>
      <c r="C5" s="14">
        <f>CF!C11</f>
        <v>91.1</v>
      </c>
      <c r="D5" s="14">
        <f>CF!D11</f>
        <v>104.1</v>
      </c>
      <c r="E5" s="14">
        <f>CF!E11</f>
        <v>116.5</v>
      </c>
      <c r="F5" s="14">
        <f>CF!F11</f>
        <v>132.3</v>
      </c>
    </row>
    <row r="6" spans="1:6" x14ac:dyDescent="0.25">
      <c r="A6" s="4" t="s">
        <v>71</v>
      </c>
      <c r="B6" s="16">
        <f>Schedules!B10</f>
        <v>0.9388569416735124</v>
      </c>
      <c r="C6" s="16">
        <f>Schedules!C10</f>
        <v>0.8814523569285412</v>
      </c>
      <c r="D6" s="16">
        <f>Schedules!D10</f>
        <v>0.8275576640568393</v>
      </c>
      <c r="E6" s="16">
        <f>Schedules!E10</f>
        <v>0.7769582575348801</v>
      </c>
      <c r="F6" s="16">
        <f>Schedules!F10</f>
        <v>0.7294526534771788</v>
      </c>
    </row>
    <row r="7" spans="1:6" x14ac:dyDescent="0.25">
      <c r="A7" s="4" t="s">
        <v>75</v>
      </c>
      <c r="B7" s="14">
        <f>B5*B6</f>
        <v>72.10421312052576</v>
      </c>
      <c r="C7" s="14">
        <f>C5*C6</f>
        <v>80.3003097161901</v>
      </c>
      <c r="D7" s="14">
        <f>D5*D6</f>
        <v>86.14875282831696</v>
      </c>
      <c r="E7" s="14">
        <f>E5*E6</f>
        <v>90.51563700281353</v>
      </c>
      <c r="F7" s="14">
        <f>F5*F6</f>
        <v>96.50658605503077</v>
      </c>
    </row>
    <row r="10" spans="1:2" x14ac:dyDescent="0.25">
      <c r="A10" s="4" t="s">
        <v>76</v>
      </c>
      <c r="B10" s="14">
        <f>SUM(B7:F7)</f>
        <v>425.5754987228771</v>
      </c>
    </row>
    <row r="11" spans="1:2" x14ac:dyDescent="0.25">
      <c r="A11" s="4" t="s">
        <v>77</v>
      </c>
      <c r="B11" s="14">
        <f>F5*(1+Assumptions!$B$12)</f>
        <v>134.2845</v>
      </c>
    </row>
    <row r="12" spans="1:2" x14ac:dyDescent="0.25">
      <c r="A12" s="4" t="s">
        <v>78</v>
      </c>
      <c r="B12" s="14">
        <f>IF(Assumptions!$B$11&lt;=Assumptions!$B$12,NA(),B11/(Assumptions!$B$11-Assumptions!$B$12))</f>
        <v>2678.992518703242</v>
      </c>
    </row>
    <row r="13" spans="1:2" x14ac:dyDescent="0.25">
      <c r="A13" s="4" t="s">
        <v>79</v>
      </c>
      <c r="B13" s="14">
        <f>B12*F6</f>
        <v>1954.1982014135904</v>
      </c>
    </row>
    <row r="14" spans="1:2" x14ac:dyDescent="0.25">
      <c r="A14" s="4" t="s">
        <v>80</v>
      </c>
      <c r="B14" s="17">
        <f>B10+B13</f>
        <v>2379.7737001364676</v>
      </c>
    </row>
    <row r="15" spans="1:2" x14ac:dyDescent="0.25">
      <c r="A15" s="4"/>
      <c r="B15" s="4"/>
    </row>
    <row r="16" spans="1:2" x14ac:dyDescent="0.25">
      <c r="A16" s="4" t="s">
        <v>32</v>
      </c>
      <c r="B16" s="14">
        <f>Inputs!B22</f>
        <v>100</v>
      </c>
    </row>
    <row r="17" spans="1:2" x14ac:dyDescent="0.25">
      <c r="A17" s="4" t="s">
        <v>33</v>
      </c>
      <c r="B17" s="14">
        <f>Inputs!B23</f>
        <v>350</v>
      </c>
    </row>
    <row r="18" spans="1:2" x14ac:dyDescent="0.25">
      <c r="A18" s="4" t="s">
        <v>34</v>
      </c>
      <c r="B18" s="14">
        <f>Inputs!B24</f>
        <v>20</v>
      </c>
    </row>
    <row r="19" spans="1:2" x14ac:dyDescent="0.25">
      <c r="A19" s="4" t="s">
        <v>35</v>
      </c>
      <c r="B19" s="14">
        <f>Inputs!B25</f>
        <v>10</v>
      </c>
    </row>
    <row r="20" spans="1:2" x14ac:dyDescent="0.25">
      <c r="A20" s="4" t="s">
        <v>81</v>
      </c>
      <c r="B20" s="17">
        <f>B14+B16-B17-B18-B19</f>
        <v>2099.7737001364676</v>
      </c>
    </row>
    <row r="24" spans="1:1" x14ac:dyDescent="0.25">
      <c r="A24" t="s">
        <v>82</v>
      </c>
    </row>
    <row r="25" ht="28" customHeight="1" spans="2:7" x14ac:dyDescent="0.25">
      <c r="B25" s="7" t="s">
        <v>83</v>
      </c>
      <c r="C25" s="18">
        <v>0.005</v>
      </c>
      <c r="D25" s="18">
        <v>0.01</v>
      </c>
      <c r="E25" s="18">
        <v>0.015</v>
      </c>
      <c r="F25" s="18">
        <v>0.02</v>
      </c>
      <c r="G25" s="18">
        <v>0.025</v>
      </c>
    </row>
    <row r="26" spans="2:7" x14ac:dyDescent="0.25">
      <c r="B26" s="19">
        <v>0.055</v>
      </c>
      <c r="C26" s="14">
        <f>IF($B26&lt;=C$25,NA(),$B$5/(1+$B26)^1+$C$5/(1+$B26)^2+$D$5/(1+$B26)^3+$E$5/(1+$B26)^4+$F$5/(1+$B26)^5+($F$5*(1+C$25)/($B26-C$25))/(1+$B26)^5)</f>
        <v>2473.2344594162128</v>
      </c>
      <c r="D26" s="14">
        <f>IF($B26&lt;=D$25,NA(),$B$5/(1+$B26)^1+$C$5/(1+$B26)^2+$D$5/(1+$B26)^3+$E$5/(1+$B26)^4+$F$5/(1+$B26)^5+($F$5*(1+D$25)/($B26-D$25))/(1+$B26)^5)</f>
        <v>2710.5561819470604</v>
      </c>
      <c r="E26" s="14">
        <f>IF($B26&lt;=E$25,NA(),$B$5/(1+$B26)^1+$C$5/(1+$B26)^2+$D$5/(1+$B26)^3+$E$5/(1+$B26)^4+$F$5/(1+$B26)^5+($F$5*(1+E$25)/($B26-E$25))/(1+$B26)^5)</f>
        <v>3007.2083351106194</v>
      </c>
      <c r="F26" s="14">
        <f>IF($B26&lt;=F$25,NA(),$B$5/(1+$B26)^1+$C$5/(1+$B26)^2+$D$5/(1+$B26)^3+$E$5/(1+$B26)^4+$F$5/(1+$B26)^5+($F$5*(1+F$25)/($B26-F$25))/(1+$B26)^5)</f>
        <v>3388.6182463209097</v>
      </c>
      <c r="G26" s="14">
        <f>IF($B26&lt;=G$25,NA(),$B$5/(1+$B26)^1+$C$5/(1+$B26)^2+$D$5/(1+$B26)^3+$E$5/(1+$B26)^4+$F$5/(1+$B26)^5+($F$5*(1+G$25)/($B26-G$25))/(1+$B26)^5)</f>
        <v>3897.1647946012968</v>
      </c>
    </row>
    <row r="27" spans="2:7" x14ac:dyDescent="0.25">
      <c r="B27" s="19">
        <v>0.06</v>
      </c>
      <c r="C27" s="14">
        <f>IF($B27&lt;=C$25,NA(),$B$5/(1+$B27)^1+$C$5/(1+$B27)^2+$D$5/(1+$B27)^3+$E$5/(1+$B27)^4+$F$5/(1+$B27)^5+($F$5*(1+C$25)/($B27-C$25))/(1+$B27)^5)</f>
        <v>2238.5600876665067</v>
      </c>
      <c r="D27" s="14">
        <f>IF($B27&lt;=D$25,NA(),$B$5/(1+$B27)^1+$C$5/(1+$B27)^2+$D$5/(1+$B27)^3+$E$5/(1+$B27)^4+$F$5/(1+$B27)^5+($F$5*(1+D$25)/($B27-D$25))/(1+$B27)^5)</f>
        <v>2429.094617932671</v>
      </c>
      <c r="E27" s="14">
        <f>IF($B27&lt;=E$25,NA(),$B$5/(1+$B27)^1+$C$5/(1+$B27)^2+$D$5/(1+$B27)^3+$E$5/(1+$B27)^4+$F$5/(1+$B27)^5+($F$5*(1+E$25)/($B27-E$25))/(1+$B27)^5)</f>
        <v>2661.9701549246493</v>
      </c>
      <c r="F27" s="14">
        <f>IF($B27&lt;=F$25,NA(),$B$5/(1+$B27)^1+$C$5/(1+$B27)^2+$D$5/(1+$B27)^3+$E$5/(1+$B27)^4+$F$5/(1+$B27)^5+($F$5*(1+F$25)/($B27-F$25))/(1+$B27)^5)</f>
        <v>2953.064576164622</v>
      </c>
      <c r="G27" s="14">
        <f>IF($B27&lt;=G$25,NA(),$B$5/(1+$B27)^1+$C$5/(1+$B27)^2+$D$5/(1+$B27)^3+$E$5/(1+$B27)^4+$F$5/(1+$B27)^5+($F$5*(1+G$25)/($B27-G$25))/(1+$B27)^5)</f>
        <v>3327.3288320445854</v>
      </c>
    </row>
    <row r="28" spans="2:7" x14ac:dyDescent="0.25">
      <c r="B28" s="19">
        <v>0.065</v>
      </c>
      <c r="C28" s="14">
        <f>IF($B28&lt;=C$25,NA(),$B$5/(1+$B28)^1+$C$5/(1+$B28)^2+$D$5/(1+$B28)^3+$E$5/(1+$B28)^4+$F$5/(1+$B28)^5+($F$5*(1+C$25)/($B28-C$25))/(1+$B28)^5)</f>
        <v>2043.1664826857082</v>
      </c>
      <c r="D28" s="14">
        <f>IF($B28&lt;=D$25,NA(),$B$5/(1+$B28)^1+$C$5/(1+$B28)^2+$D$5/(1+$B28)^3+$E$5/(1+$B28)^4+$F$5/(1+$B28)^5+($F$5*(1+D$25)/($B28-D$25))/(1+$B28)^5)</f>
        <v>2198.984429542352</v>
      </c>
      <c r="E28" s="14">
        <f>IF($B28&lt;=E$25,NA(),$B$5/(1+$B28)^1+$C$5/(1+$B28)^2+$D$5/(1+$B28)^3+$E$5/(1+$B28)^4+$F$5/(1+$B28)^5+($F$5*(1+E$25)/($B28-E$25))/(1+$B28)^5)</f>
        <v>2385.965965770323</v>
      </c>
      <c r="F28" s="14">
        <f>IF($B28&lt;=F$25,NA(),$B$5/(1+$B28)^1+$C$5/(1+$B28)^2+$D$5/(1+$B28)^3+$E$5/(1+$B28)^4+$F$5/(1+$B28)^5+($F$5*(1+F$25)/($B28-F$25))/(1+$B28)^5)</f>
        <v>2614.498954493399</v>
      </c>
      <c r="G28" s="14">
        <f>IF($B28&lt;=G$25,NA(),$B$5/(1+$B28)^1+$C$5/(1+$B28)^2+$D$5/(1+$B28)^3+$E$5/(1+$B28)^4+$F$5/(1+$B28)^5+($F$5*(1+G$25)/($B28-G$25))/(1+$B28)^5)</f>
        <v>2900.165190397244</v>
      </c>
    </row>
    <row r="29" spans="2:7" x14ac:dyDescent="0.25">
      <c r="B29" s="19">
        <v>0.07</v>
      </c>
      <c r="C29" s="14">
        <f>IF($B29&lt;=C$25,NA(),$B$5/(1+$B29)^1+$C$5/(1+$B29)^2+$D$5/(1+$B29)^3+$E$5/(1+$B29)^4+$F$5/(1+$B29)^5+($F$5*(1+C$25)/($B29-C$25))/(1+$B29)^5)</f>
        <v>1877.9850480202597</v>
      </c>
      <c r="D29" s="14">
        <f>IF($B29&lt;=D$25,NA(),$B$5/(1+$B29)^1+$C$5/(1+$B29)^2+$D$5/(1+$B29)^3+$E$5/(1+$B29)^4+$F$5/(1+$B29)^5+($F$5*(1+D$25)/($B29-D$25))/(1+$B29)^5)</f>
        <v>2007.3838128329362</v>
      </c>
      <c r="E29" s="14">
        <f>IF($B29&lt;=E$25,NA(),$B$5/(1+$B29)^1+$C$5/(1+$B29)^2+$D$5/(1+$B29)^3+$E$5/(1+$B29)^4+$F$5/(1+$B29)^5+($F$5*(1+E$25)/($B29-E$25))/(1+$B29)^5)</f>
        <v>2160.309625793372</v>
      </c>
      <c r="F29" s="14">
        <f>IF($B29&lt;=F$25,NA(),$B$5/(1+$B29)^1+$C$5/(1+$B29)^2+$D$5/(1+$B29)^3+$E$5/(1+$B29)^4+$F$5/(1+$B29)^5+($F$5*(1+F$25)/($B29-F$25))/(1+$B29)^5)</f>
        <v>2343.820601345895</v>
      </c>
      <c r="G29" s="14">
        <f>IF($B29&lt;=G$25,NA(),$B$5/(1+$B29)^1+$C$5/(1+$B29)^2+$D$5/(1+$B29)^3+$E$5/(1+$B29)^4+$F$5/(1+$B29)^5+($F$5*(1+G$25)/($B29-G$25))/(1+$B29)^5)</f>
        <v>2568.1117936878663</v>
      </c>
    </row>
    <row r="30" spans="2:7" x14ac:dyDescent="0.25">
      <c r="B30" s="19">
        <v>0.075</v>
      </c>
      <c r="C30" s="14">
        <f>IF($B30&lt;=C$25,NA(),$B$5/(1+$B30)^1+$C$5/(1+$B30)^2+$D$5/(1+$B30)^3+$E$5/(1+$B30)^4+$F$5/(1+$B30)^5+($F$5*(1+C$25)/($B30-C$25))/(1+$B30)^5)</f>
        <v>1736.5383197208616</v>
      </c>
      <c r="D30" s="14">
        <f>IF($B30&lt;=D$25,NA(),$B$5/(1+$B30)^1+$C$5/(1+$B30)^2+$D$5/(1+$B30)^3+$E$5/(1+$B30)^4+$F$5/(1+$B30)^5+($F$5*(1+D$25)/($B30-D$25))/(1+$B30)^5)</f>
        <v>1845.402396742196</v>
      </c>
      <c r="E30" s="14">
        <f>IF($B30&lt;=E$25,NA(),$B$5/(1+$B30)^1+$C$5/(1+$B30)^2+$D$5/(1+$B30)^3+$E$5/(1+$B30)^4+$F$5/(1+$B30)^5+($F$5*(1+E$25)/($B30-E$25))/(1+$B30)^5)</f>
        <v>1972.4104866004197</v>
      </c>
      <c r="F30" s="14">
        <f>IF($B30&lt;=F$25,NA(),$B$5/(1+$B30)^1+$C$5/(1+$B30)^2+$D$5/(1+$B30)^3+$E$5/(1+$B30)^4+$F$5/(1+$B30)^5+($F$5*(1+F$25)/($B30-F$25))/(1+$B30)^5)</f>
        <v>2122.5109564328664</v>
      </c>
      <c r="G30" s="14">
        <f>IF($B30&lt;=G$25,NA(),$B$5/(1+$B30)^1+$C$5/(1+$B30)^2+$D$5/(1+$B30)^3+$E$5/(1+$B30)^4+$F$5/(1+$B30)^5+($F$5*(1+G$25)/($B30-G$25))/(1+$B30)^5)</f>
        <v>2302.631520231801</v>
      </c>
    </row>
  </sheetData>
  <mergeCells count="2">
    <mergeCell ref="A1:G1"/>
    <mergeCell ref="A2:G2"/>
  </mergeCells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1"/>
  <sheetViews>
    <sheetView workbookViewId="0">
      <pane xSplit="1" ySplit="4" topLeftCell="B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20" customWidth="1"/>
    <col min="4" max="4" width="32" customWidth="1"/>
  </cols>
  <sheetData>
    <row r="1" ht="28" customHeight="1" spans="1:4" x14ac:dyDescent="0.25">
      <c r="A1" s="1" t="s">
        <v>84</v>
      </c>
      <c r="B1" s="1"/>
      <c r="C1" s="1"/>
      <c r="D1" s="1"/>
    </row>
    <row r="2" ht="30" customHeight="1" spans="1:4" x14ac:dyDescent="0.25">
      <c r="A2" s="2" t="s">
        <v>85</v>
      </c>
      <c r="B2" s="2"/>
      <c r="C2" s="2"/>
      <c r="D2" s="2"/>
    </row>
    <row r="4" ht="28" customHeight="1" spans="1:4" x14ac:dyDescent="0.25">
      <c r="A4" s="7" t="s">
        <v>86</v>
      </c>
      <c r="B4" s="7" t="s">
        <v>87</v>
      </c>
      <c r="C4" s="7" t="s">
        <v>88</v>
      </c>
      <c r="D4" s="7" t="s">
        <v>89</v>
      </c>
    </row>
    <row r="5" spans="1:4" x14ac:dyDescent="0.25">
      <c r="A5" s="4" t="s">
        <v>90</v>
      </c>
      <c r="B5" s="12">
        <f>Inputs!B19+Inputs!B20</f>
        <v>1</v>
      </c>
      <c r="C5" s="20" t="str">
        <f>IF(ABS(B5-1)&lt;0.000001,"OK","ERROR")</f>
        <v>OK</v>
      </c>
      <c r="D5" s="4" t="s">
        <v>91</v>
      </c>
    </row>
    <row r="6" spans="1:4" x14ac:dyDescent="0.25">
      <c r="A6" s="4" t="s">
        <v>92</v>
      </c>
      <c r="B6" s="21" t="b">
        <f>Assumptions!B11&gt;Assumptions!B12</f>
        <v>1</v>
      </c>
      <c r="C6" s="20" t="str">
        <f>IF(B6,"OK","ERROR")</f>
        <v>OK</v>
      </c>
      <c r="D6" s="4" t="s">
        <v>93</v>
      </c>
    </row>
    <row r="7" spans="1:4" x14ac:dyDescent="0.25">
      <c r="A7" s="4" t="s">
        <v>94</v>
      </c>
      <c r="B7" s="22">
        <f>DCF!B20-(DCF!B14+DCF!B16-DCF!B17-DCF!B18-DCF!B19)</f>
        <v>0</v>
      </c>
      <c r="C7" s="20" t="str">
        <f>IF(ABS(B7)&lt;0.000001,"OK","ERROR")</f>
        <v>OK</v>
      </c>
      <c r="D7" s="4" t="s">
        <v>95</v>
      </c>
    </row>
    <row r="8" spans="1:4" x14ac:dyDescent="0.25">
      <c r="A8" s="4" t="s">
        <v>96</v>
      </c>
      <c r="B8" s="23">
        <f>SUMPRODUCT(--ISERROR(Assumptions!B8:B12))+SUMPRODUCT(--ISERROR(PL!B5:F9))+SUMPRODUCT(--ISERROR(BS!B5:F12))+SUMPRODUCT(--ISERROR(CF!B5:F11))+SUMPRODUCT(--ISERROR(Schedules!B5:F10))+SUMPRODUCT(--ISERROR(DCF!B5:G30))</f>
        <v>0</v>
      </c>
      <c r="C8" s="20" t="str">
        <f>IF(B8=0,"OK","ERROR")</f>
        <v>OK</v>
      </c>
      <c r="D8" s="4" t="s">
        <v>97</v>
      </c>
    </row>
    <row r="9" spans="1:4" x14ac:dyDescent="0.25">
      <c r="A9" s="4"/>
      <c r="B9" s="4"/>
      <c r="C9" s="4"/>
      <c r="D9" s="4"/>
    </row>
    <row r="10" spans="1:4" x14ac:dyDescent="0.25">
      <c r="A10" s="4" t="s">
        <v>3</v>
      </c>
      <c r="B10" s="20" t="str">
        <f>IF(COUNTIF(C5:C8,"&lt;&gt;OK")=0,"OK","ERROR")</f>
        <v>OK</v>
      </c>
      <c r="C10" s="4"/>
      <c r="D10" s="4"/>
    </row>
    <row r="11" spans="1:4" x14ac:dyDescent="0.25">
      <c r="A11" s="4" t="s">
        <v>4</v>
      </c>
      <c r="B11" s="21" t="str">
        <f>"Educational sample / source review required"</f>
        <v>Educational sample / source review required</v>
      </c>
      <c r="C11" s="4"/>
      <c r="D11" s="4"/>
    </row>
  </sheetData>
  <mergeCells count="2">
    <mergeCell ref="A1:D1"/>
    <mergeCell ref="A2:D2"/>
  </mergeCells>
  <pageMargins left="0.25" right="0.25" top="0.5" bottom="0.5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Inputs</vt:lpstr>
      <vt:lpstr>Assumptions</vt:lpstr>
      <vt:lpstr>PL</vt:lpstr>
      <vt:lpstr>BS</vt:lpstr>
      <vt:lpstr>CF</vt:lpstr>
      <vt:lpstr>Schedules</vt:lpstr>
      <vt:lpstr>DCF</vt:lpstr>
      <vt:lpstr>Checks</vt:lpstr>
    </vt:vector>
  </TitlesOfParts>
  <Company>Finance Modeling Lab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Modeling Lab 編集部</dc:creator>
  <dc:title>DCF評価モデル（教育用サンプル）</dc:title>
  <dc:subject>FCFF, WACC, Terminal Value and EV-to-Equity educational model</dc:subject>
  <dc:description/>
  <cp:keywords/>
  <cp:category/>
  <cp:lastModifiedBy>Unknown</cp:lastModifiedBy>
  <dcterms:created xsi:type="dcterms:W3CDTF">2026-07-20T15:00:00Z</dcterms:created>
  <dcterms:modified xsi:type="dcterms:W3CDTF">2026-07-20T15:00:00Z</dcterms:modified>
</cp:coreProperties>
</file>