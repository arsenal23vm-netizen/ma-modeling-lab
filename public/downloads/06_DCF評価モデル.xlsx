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000" windowHeight="9000" firstSheet="0" activeTab="0"/>
  </bookViews>
  <sheets>
    <sheet sheetId="1" name="表紙" state="visible" r:id="rId4"/>
    <sheet sheetId="2" name="入力" state="visible" r:id="rId5"/>
    <sheet sheetId="3" name="前提" state="visible" r:id="rId6"/>
    <sheet sheetId="4" name="PL" state="visible" r:id="rId7"/>
    <sheet sheetId="5" name="BS" state="visible" r:id="rId8"/>
    <sheet sheetId="6" name="CF" state="visible" r:id="rId9"/>
    <sheet sheetId="7" name="計算明細" state="visible" r:id="rId10"/>
    <sheet sheetId="8" name="DCF" state="visible" r:id="rId11"/>
    <sheet sheetId="9" name="チェック" state="visible" r:id="rId12"/>
  </sheets>
  <definedNames>
    <definedName name="_xlnm.Print_Area" localSheetId="0">'表紙'!$A1:$F15</definedName>
    <definedName name="_xlnm.Print_Area" localSheetId="1">'入力'!$A1:$F25</definedName>
    <definedName name="_xlnm.Print_Area" localSheetId="2">'前提'!$A1:$C12</definedName>
    <definedName name="_xlnm.Print_Area" localSheetId="3">'PL'!$A1:$F9</definedName>
    <definedName name="_xlnm.Print_Area" localSheetId="4">'BS'!$A1:$F15</definedName>
    <definedName name="_xlnm.Print_Area" localSheetId="5">'CF'!$A1:$F11</definedName>
    <definedName name="_xlnm.Print_Area" localSheetId="6">'計算明細'!$A1:$F10</definedName>
    <definedName name="_xlnm.Print_Area" localSheetId="7">'DCF'!$A1:$G30</definedName>
    <definedName name="_xlnm.Print_Area" localSheetId="8">'チェック'!$A1:$D11</definedName>
  </definedNames>
  <calcPr calcId="171027" fullCalcOnLoad="1"/>
</workbook>
</file>

<file path=xl/sharedStrings.xml><?xml version="1.0" encoding="utf-8"?>
<sst xmlns="http://schemas.openxmlformats.org/spreadsheetml/2006/main" count="155" uniqueCount="98">
  <si>
    <t>DCF Valuationモデル</t>
  </si>
  <si>
    <t>教育用サンプル｜共通DCFケース｜単位：百万円</t>
  </si>
  <si>
    <t>モデルの状態</t>
  </si>
  <si>
    <t>計算整合性</t>
  </si>
  <si>
    <t>意思決定への利用可否</t>
  </si>
  <si>
    <t>Valuationの基準</t>
  </si>
  <si>
    <t>各予測年度末を基準とする期末割引（1～5期間）</t>
  </si>
  <si>
    <t>利用上の注意</t>
  </si>
  <si>
    <t>入力値は教育用の仮定であり、市場データではありません。実案件で利用する前に出所、基準日、前提条件を確認してください。</t>
  </si>
  <si>
    <t>入力</t>
  </si>
  <si>
    <t>青字セルが手入力欄です。事業計画、WACC、永久成長率、ネット有利子負債調整を入力します。</t>
  </si>
  <si>
    <t>事業計画</t>
  </si>
  <si>
    <t>2026年度</t>
  </si>
  <si>
    <t>2027年度</t>
  </si>
  <si>
    <t>2028年度</t>
  </si>
  <si>
    <t>2029年度</t>
  </si>
  <si>
    <t>2030年度</t>
  </si>
  <si>
    <t>売上高</t>
  </si>
  <si>
    <t>EBIT</t>
  </si>
  <si>
    <t>税率</t>
  </si>
  <si>
    <t>減価償却費</t>
  </si>
  <si>
    <t>設備投資</t>
  </si>
  <si>
    <t>運転資本増加</t>
  </si>
  <si>
    <t>Valuation・株主価値調整の入力</t>
  </si>
  <si>
    <t>入力値</t>
  </si>
  <si>
    <t>リスクフリーレート</t>
  </si>
  <si>
    <t>株式リスクプレミアム</t>
  </si>
  <si>
    <t>ベータ</t>
  </si>
  <si>
    <t>税引前負債コスト</t>
  </si>
  <si>
    <t>株主資本構成比</t>
  </si>
  <si>
    <t>有利子負債構成比</t>
  </si>
  <si>
    <t>永久成長率</t>
  </si>
  <si>
    <t>現金及び現金同等物</t>
  </si>
  <si>
    <t>有利子負債</t>
  </si>
  <si>
    <t>有利子負債類似項目</t>
  </si>
  <si>
    <t>非支配持分</t>
  </si>
  <si>
    <t>前提</t>
  </si>
  <si>
    <t>WACCとValuationの基準を数式で集約します。WACCが永久成長率を上回ることを確認します。</t>
  </si>
  <si>
    <t>前提・計算項目</t>
  </si>
  <si>
    <t>計算値</t>
  </si>
  <si>
    <t>定義・確認事項</t>
  </si>
  <si>
    <t>期末割引</t>
  </si>
  <si>
    <t>各予測年度末を基準とする1～5期間</t>
  </si>
  <si>
    <t>株主資本コスト</t>
  </si>
  <si>
    <t>リスクフリーレート + ベータ × 株式リスクプレミアム</t>
  </si>
  <si>
    <t>税引後負債コスト</t>
  </si>
  <si>
    <t>税引前負債コスト ×（1 − 税率）</t>
  </si>
  <si>
    <t>資本構成比合計</t>
  </si>
  <si>
    <t>100.0%となること</t>
  </si>
  <si>
    <t>WACC</t>
  </si>
  <si>
    <t>株主資本構成比 × 株主資本コスト + 有利子負債構成比 × 税引後負債コスト</t>
  </si>
  <si>
    <t>WACCが永久成長率を上回ること</t>
  </si>
  <si>
    <t>PL</t>
  </si>
  <si>
    <t>入力シートに連動する予測損益計算書です。単位：百万円。</t>
  </si>
  <si>
    <t>項目</t>
  </si>
  <si>
    <t>営業利益に係る税金</t>
  </si>
  <si>
    <t>税引後営業利益</t>
  </si>
  <si>
    <t>BS</t>
  </si>
  <si>
    <t>評価基準日の株主価値調整項目と予測運転資本増加を整理します。単位：百万円。</t>
  </si>
  <si>
    <t>評価基準日の調整項目</t>
  </si>
  <si>
    <t>金額</t>
  </si>
  <si>
    <t>調整方法</t>
  </si>
  <si>
    <t>Enterprise Valueに加算</t>
  </si>
  <si>
    <t>Enterprise Valueから控除</t>
  </si>
  <si>
    <t>CF</t>
  </si>
  <si>
    <t>FCFF（企業向けフリーキャッシュフロー）を税引後営業利益、減価償却費、設備投資、運転資本増加から計算します。単位：百万円。</t>
  </si>
  <si>
    <t>FCFF</t>
  </si>
  <si>
    <t>計算明細</t>
  </si>
  <si>
    <t>設備投資、運転資本、割引係数の計算明細です。記載がない限り単位：百万円。</t>
  </si>
  <si>
    <t>計算項目</t>
  </si>
  <si>
    <t/>
  </si>
  <si>
    <t>割引期間</t>
  </si>
  <si>
    <t>割引係数</t>
  </si>
  <si>
    <t>DCF</t>
  </si>
  <si>
    <t>期末割引によるValuation、Enterprise ValueからEquity Valueへの調整、WACC・永久成長率の感応度分析です。単位：百万円。</t>
  </si>
  <si>
    <t>Valuation</t>
  </si>
  <si>
    <t>FCFFの現在価値</t>
  </si>
  <si>
    <t>明示予測期間のFCFF現在価値</t>
  </si>
  <si>
    <t>FCFF (n+1)</t>
  </si>
  <si>
    <t>継続価値</t>
  </si>
  <si>
    <t>継続価値の現在価値</t>
  </si>
  <si>
    <t>Enterprise Value</t>
  </si>
  <si>
    <t>Equity Value</t>
  </si>
  <si>
    <t>Enterprise Value 感応度分析</t>
  </si>
  <si>
    <t>WACC / g</t>
  </si>
  <si>
    <t>チェック</t>
  </si>
  <si>
    <t>数式で計算整合性を確認します。計算が合うことと、意思決定に使えることは別に判定します。</t>
  </si>
  <si>
    <t>チェック項目</t>
  </si>
  <si>
    <t>計算結果</t>
  </si>
  <si>
    <t>判定</t>
  </si>
  <si>
    <t>確認目的</t>
  </si>
  <si>
    <t>株主資本と有利子負債の構成比が100%となること。</t>
  </si>
  <si>
    <t>WACCと永久成長率</t>
  </si>
  <si>
    <t>継続価値の分母が正となること。</t>
  </si>
  <si>
    <t>株主価値への調整</t>
  </si>
  <si>
    <t>Equity ValueがEnterprise Valueからの調整に一致すること。</t>
  </si>
  <si>
    <t>数式エラー件数</t>
  </si>
  <si>
    <t>主要計算範囲に数式エラーがないこと。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</si>
</sst>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.0"/>
    <numFmt numFmtId="165" formatCode="0.0%"/>
    <numFmt numFmtId="166" formatCode="0.00x"/>
    <numFmt numFmtId="167" formatCode="#,##0.0;[Red](#,##0.0);-"/>
    <numFmt numFmtId="168" formatCode="0.0000x"/>
    <numFmt numFmtId="169" formatCode="0.0000"/>
  </numFmts>
  <fonts count="9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i/>
      <color rgb="FF147D73"/>
      <sz val="10"/>
      <name val="Yu Gothic"/>
    </font>
    <font>
      <b/>
      <color rgb="FFFFFFFF"/>
      <name val="Yu Gothic"/>
    </font>
    <font>
      <color rgb="FF102235"/>
      <sz val="10"/>
      <name val="Yu Gothic"/>
    </font>
    <font>
      <b/>
      <color rgb="FF147D73"/>
      <name val="Yu Gothic"/>
    </font>
    <font>
      <b/>
      <color rgb="FFFFFFFF"/>
      <sz val="10"/>
      <name val="Yu Gothic"/>
    </font>
    <font>
      <color rgb="FF1F4E78"/>
      <sz val="10"/>
      <name val="Yu Gothic"/>
    </font>
    <font>
      <b/>
      <color rgb="FF147D73"/>
      <sz val="10"/>
      <name val="Yu Gothic"/>
    </font>
  </fonts>
  <fills count="8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9F6EF"/>
      </patternFill>
    </fill>
    <fill>
      <patternFill patternType="solid">
        <fgColor rgb="FFFFF4D6"/>
      </patternFill>
    </fill>
    <fill>
      <patternFill patternType="solid">
        <fgColor rgb="FFE7F0FF"/>
      </patternFill>
    </fill>
    <fill>
      <patternFill patternType="solid">
        <fgColor rgb="FFF3F6F8"/>
      </patternFill>
    </fill>
  </fills>
  <borders count="2">
    <border>
      <left/>
      <right/>
      <top/>
      <bottom/>
      <diagonal/>
    </border>
    <border>
      <left style="thin">
        <color rgb="FFD8E0E5"/>
      </left>
      <right style="thin">
        <color rgb="FFD8E0E5"/>
      </right>
      <top style="thin">
        <color rgb="FFD8E0E5"/>
      </top>
      <bottom style="thin">
        <color rgb="FFD8E0E5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164" fontId="7" fillId="6" borderId="1" xfId="0" applyNumberFormat="1" applyFont="1" applyFill="1" applyBorder="1" applyAlignment="1">
      <alignment vertical="center" wrapText="1"/>
    </xf>
    <xf numFmtId="165" fontId="7" fillId="6" borderId="1" xfId="0" applyNumberFormat="1" applyFont="1" applyFill="1" applyBorder="1" applyAlignment="1">
      <alignment vertical="center" wrapText="1"/>
    </xf>
    <xf numFmtId="10" fontId="7" fillId="6" borderId="1" xfId="0" applyNumberFormat="1" applyFont="1" applyFill="1" applyBorder="1" applyAlignment="1">
      <alignment vertical="center" wrapText="1"/>
    </xf>
    <xf numFmtId="166" fontId="7" fillId="6" borderId="1" xfId="0" applyNumberFormat="1" applyFont="1" applyFill="1" applyBorder="1" applyAlignment="1">
      <alignment vertical="center" wrapText="1"/>
    </xf>
    <xf numFmtId="10" fontId="4" fillId="7" borderId="1" xfId="0" applyNumberFormat="1" applyFont="1" applyFill="1" applyBorder="1" applyAlignment="1">
      <alignment vertical="center" wrapText="1"/>
    </xf>
    <xf numFmtId="10" fontId="4" fillId="4" borderId="1" xfId="0" applyNumberFormat="1" applyFont="1" applyFill="1" applyBorder="1" applyAlignment="1">
      <alignment vertical="center" wrapText="1"/>
    </xf>
    <xf numFmtId="167" fontId="4" fillId="7" borderId="1" xfId="0" applyNumberFormat="1" applyFont="1" applyFill="1" applyBorder="1" applyAlignment="1">
      <alignment vertical="center" wrapText="1"/>
    </xf>
    <xf numFmtId="167" fontId="4" fillId="4" borderId="1" xfId="0" applyNumberFormat="1" applyFont="1" applyFill="1" applyBorder="1" applyAlignment="1">
      <alignment vertical="center" wrapText="1"/>
    </xf>
    <xf numFmtId="168" fontId="4" fillId="7" borderId="1" xfId="0" applyNumberFormat="1" applyFont="1" applyFill="1" applyBorder="1" applyAlignment="1">
      <alignment vertical="center" wrapText="1"/>
    </xf>
    <xf numFmtId="167" fontId="8" fillId="4" borderId="1" xfId="0" applyNumberFormat="1" applyFont="1" applyFill="1" applyBorder="1" applyAlignment="1">
      <alignment vertical="center" wrapText="1"/>
    </xf>
    <xf numFmtId="10" fontId="6" fillId="3" borderId="1" xfId="0" applyNumberFormat="1" applyFont="1" applyFill="1" applyBorder="1" applyAlignment="1">
      <alignment horizontal="center" vertical="center" wrapText="1"/>
    </xf>
    <xf numFmtId="10" fontId="4" fillId="0" borderId="1" xfId="0" applyNumberFormat="1" applyFont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169" fontId="4" fillId="7" borderId="1" xfId="0" applyNumberFormat="1" applyFont="1" applyFill="1" applyBorder="1" applyAlignment="1">
      <alignment vertical="center" wrapText="1"/>
    </xf>
    <xf numFmtId="1" fontId="4" fillId="7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2" customWidth="1"/>
    <col min="2" max="2" width="25" customWidth="1"/>
    <col min="3" max="3" width="32" customWidth="1"/>
    <col min="4" max="6" width="16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0" customHeight="1" spans="1:6" x14ac:dyDescent="0.25">
      <c r="A2" s="2" t="s">
        <v>1</v>
      </c>
      <c r="B2" s="2"/>
      <c r="C2" s="2"/>
      <c r="D2" s="2"/>
      <c r="E2" s="2"/>
      <c r="F2" s="2"/>
    </row>
    <row r="4" spans="2:3" x14ac:dyDescent="0.25">
      <c r="B4" s="3" t="s">
        <v>2</v>
      </c>
      <c r="C4" s="4"/>
    </row>
    <row r="5" spans="2:3" x14ac:dyDescent="0.25">
      <c r="B5" s="4" t="s">
        <v>3</v>
      </c>
      <c r="C5" s="5" t="str">
        <f>チェック!B10</f>
        <v>適合</v>
      </c>
    </row>
    <row r="6" spans="2:3" x14ac:dyDescent="0.25">
      <c r="B6" s="4" t="s">
        <v>4</v>
      </c>
      <c r="C6" s="6" t="str">
        <f>チェック!B11</f>
        <v>教育用サンプル・出所確認が必要</v>
      </c>
    </row>
    <row r="7" spans="2:3" x14ac:dyDescent="0.25">
      <c r="B7" s="4"/>
      <c r="C7" s="4"/>
    </row>
    <row r="8" spans="2:3" x14ac:dyDescent="0.25">
      <c r="B8" s="4" t="s">
        <v>5</v>
      </c>
      <c r="C8" s="4" t="s">
        <v>6</v>
      </c>
    </row>
    <row r="9" spans="2:3" x14ac:dyDescent="0.25">
      <c r="B9" s="4"/>
      <c r="C9" s="4"/>
    </row>
    <row r="10" ht="48" customHeight="1" spans="2:3" x14ac:dyDescent="0.25">
      <c r="B10" s="4" t="s">
        <v>7</v>
      </c>
      <c r="C10" s="4" t="s">
        <v>8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9</v>
      </c>
      <c r="B1" s="1"/>
      <c r="C1" s="1"/>
      <c r="D1" s="1"/>
      <c r="E1" s="1"/>
      <c r="F1" s="1"/>
    </row>
    <row r="2" ht="30" customHeight="1" spans="1:6" x14ac:dyDescent="0.25">
      <c r="A2" s="2" t="s">
        <v>10</v>
      </c>
      <c r="B2" s="2"/>
      <c r="C2" s="2"/>
      <c r="D2" s="2"/>
      <c r="E2" s="2"/>
      <c r="F2" s="2"/>
    </row>
    <row r="4" ht="28" customHeight="1" spans="1:6" x14ac:dyDescent="0.25">
      <c r="A4" s="7" t="s">
        <v>11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17</v>
      </c>
      <c r="B5" s="8">
        <v>1100</v>
      </c>
      <c r="C5" s="8">
        <v>1200</v>
      </c>
      <c r="D5" s="8">
        <v>1320</v>
      </c>
      <c r="E5" s="8">
        <v>1452</v>
      </c>
      <c r="F5" s="8">
        <v>1597.2</v>
      </c>
    </row>
    <row r="6" spans="1:6" x14ac:dyDescent="0.25">
      <c r="A6" s="4" t="s">
        <v>18</v>
      </c>
      <c r="B6" s="8">
        <v>120</v>
      </c>
      <c r="C6" s="8">
        <v>140</v>
      </c>
      <c r="D6" s="8">
        <v>160</v>
      </c>
      <c r="E6" s="8">
        <v>180</v>
      </c>
      <c r="F6" s="8">
        <v>200</v>
      </c>
    </row>
    <row r="7" spans="1:6" x14ac:dyDescent="0.25">
      <c r="A7" s="4" t="s">
        <v>19</v>
      </c>
      <c r="B7" s="9">
        <v>0.3</v>
      </c>
      <c r="C7" s="9">
        <v>0.3</v>
      </c>
      <c r="D7" s="9">
        <v>0.3</v>
      </c>
      <c r="E7" s="9">
        <v>0.3</v>
      </c>
      <c r="F7" s="9">
        <v>0.3</v>
      </c>
    </row>
    <row r="8" spans="1:6" x14ac:dyDescent="0.25">
      <c r="A8" s="4" t="s">
        <v>20</v>
      </c>
      <c r="B8" s="8">
        <v>30</v>
      </c>
      <c r="C8" s="8">
        <v>32</v>
      </c>
      <c r="D8" s="8">
        <v>34</v>
      </c>
      <c r="E8" s="8">
        <v>36</v>
      </c>
      <c r="F8" s="8">
        <v>38</v>
      </c>
    </row>
    <row r="9" spans="1:6" x14ac:dyDescent="0.25">
      <c r="A9" s="4" t="s">
        <v>21</v>
      </c>
      <c r="B9" s="8">
        <v>30</v>
      </c>
      <c r="C9" s="8">
        <v>32</v>
      </c>
      <c r="D9" s="8">
        <v>34</v>
      </c>
      <c r="E9" s="8">
        <v>36</v>
      </c>
      <c r="F9" s="8">
        <v>38</v>
      </c>
    </row>
    <row r="10" spans="1:6" x14ac:dyDescent="0.25">
      <c r="A10" s="4" t="s">
        <v>22</v>
      </c>
      <c r="B10" s="8">
        <v>7.2</v>
      </c>
      <c r="C10" s="8">
        <v>6.9</v>
      </c>
      <c r="D10" s="8">
        <v>7.9</v>
      </c>
      <c r="E10" s="8">
        <v>9.5</v>
      </c>
      <c r="F10" s="8">
        <v>7.7</v>
      </c>
    </row>
    <row r="13" ht="28" customHeight="1" spans="1:2" x14ac:dyDescent="0.25">
      <c r="A13" s="7" t="s">
        <v>23</v>
      </c>
      <c r="B13" s="7" t="s">
        <v>24</v>
      </c>
    </row>
    <row r="14" spans="1:2" x14ac:dyDescent="0.25">
      <c r="A14" s="4" t="s">
        <v>25</v>
      </c>
      <c r="B14" s="10">
        <v>0.015</v>
      </c>
    </row>
    <row r="15" spans="1:2" x14ac:dyDescent="0.25">
      <c r="A15" s="4" t="s">
        <v>26</v>
      </c>
      <c r="B15" s="10">
        <v>0.06</v>
      </c>
    </row>
    <row r="16" spans="1:2" x14ac:dyDescent="0.25">
      <c r="A16" s="4" t="s">
        <v>27</v>
      </c>
      <c r="B16" s="11">
        <v>1.1</v>
      </c>
    </row>
    <row r="17" spans="1:2" x14ac:dyDescent="0.25">
      <c r="A17" s="4" t="s">
        <v>28</v>
      </c>
      <c r="B17" s="10">
        <v>0.025</v>
      </c>
    </row>
    <row r="18" spans="1:2" x14ac:dyDescent="0.25">
      <c r="A18" s="4" t="s">
        <v>19</v>
      </c>
      <c r="B18" s="9">
        <v>0.3</v>
      </c>
    </row>
    <row r="19" spans="1:2" x14ac:dyDescent="0.25">
      <c r="A19" s="4" t="s">
        <v>29</v>
      </c>
      <c r="B19" s="9">
        <v>0.75</v>
      </c>
    </row>
    <row r="20" spans="1:2" x14ac:dyDescent="0.25">
      <c r="A20" s="4" t="s">
        <v>30</v>
      </c>
      <c r="B20" s="9">
        <v>0.25</v>
      </c>
    </row>
    <row r="21" spans="1:2" x14ac:dyDescent="0.25">
      <c r="A21" s="4" t="s">
        <v>31</v>
      </c>
      <c r="B21" s="9">
        <v>0.015</v>
      </c>
    </row>
    <row r="22" spans="1:2" x14ac:dyDescent="0.25">
      <c r="A22" s="4" t="s">
        <v>32</v>
      </c>
      <c r="B22" s="8">
        <v>100</v>
      </c>
    </row>
    <row r="23" spans="1:2" x14ac:dyDescent="0.25">
      <c r="A23" s="4" t="s">
        <v>33</v>
      </c>
      <c r="B23" s="8">
        <v>350</v>
      </c>
    </row>
    <row r="24" spans="1:2" x14ac:dyDescent="0.25">
      <c r="A24" s="4" t="s">
        <v>34</v>
      </c>
      <c r="B24" s="8">
        <v>20</v>
      </c>
    </row>
    <row r="25" spans="1:2" x14ac:dyDescent="0.25">
      <c r="A25" s="4" t="s">
        <v>35</v>
      </c>
      <c r="B25" s="8">
        <v>10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2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32" customWidth="1"/>
  </cols>
  <sheetData>
    <row r="1" ht="28" customHeight="1" spans="1:3" x14ac:dyDescent="0.25">
      <c r="A1" s="1" t="s">
        <v>36</v>
      </c>
      <c r="B1" s="1"/>
      <c r="C1" s="1"/>
    </row>
    <row r="2" ht="30" customHeight="1" spans="1:3" x14ac:dyDescent="0.25">
      <c r="A2" s="2" t="s">
        <v>37</v>
      </c>
      <c r="B2" s="2"/>
      <c r="C2" s="2"/>
    </row>
    <row r="4" ht="28" customHeight="1" spans="1:3" x14ac:dyDescent="0.25">
      <c r="A4" s="7" t="s">
        <v>38</v>
      </c>
      <c r="B4" s="7" t="s">
        <v>39</v>
      </c>
      <c r="C4" s="7" t="s">
        <v>40</v>
      </c>
    </row>
    <row r="5" spans="1:3" x14ac:dyDescent="0.25">
      <c r="A5" s="4" t="s">
        <v>5</v>
      </c>
      <c r="B5" s="4" t="s">
        <v>41</v>
      </c>
      <c r="C5" s="4" t="s">
        <v>42</v>
      </c>
    </row>
    <row r="6" spans="1:3" x14ac:dyDescent="0.25">
      <c r="A6" s="4"/>
      <c r="B6" s="4"/>
      <c r="C6" s="4"/>
    </row>
    <row r="7" spans="1:3" x14ac:dyDescent="0.25">
      <c r="A7" s="4"/>
      <c r="B7" s="4"/>
      <c r="C7" s="4"/>
    </row>
    <row r="8" spans="1:3" x14ac:dyDescent="0.25">
      <c r="A8" s="4" t="s">
        <v>43</v>
      </c>
      <c r="B8" s="12">
        <f>入力!B14+入力!B16*入力!B15</f>
        <v>0.081</v>
      </c>
      <c r="C8" s="4" t="s">
        <v>44</v>
      </c>
    </row>
    <row r="9" spans="1:3" x14ac:dyDescent="0.25">
      <c r="A9" s="4" t="s">
        <v>45</v>
      </c>
      <c r="B9" s="12">
        <f>入力!B17*(1-入力!B18)</f>
        <v>0.017499999999999998</v>
      </c>
      <c r="C9" s="4" t="s">
        <v>46</v>
      </c>
    </row>
    <row r="10" spans="1:3" x14ac:dyDescent="0.25">
      <c r="A10" s="4" t="s">
        <v>47</v>
      </c>
      <c r="B10" s="12">
        <f>入力!B19+入力!B20</f>
        <v>1</v>
      </c>
      <c r="C10" s="4" t="s">
        <v>48</v>
      </c>
    </row>
    <row r="11" spans="1:3" x14ac:dyDescent="0.25">
      <c r="A11" s="4" t="s">
        <v>49</v>
      </c>
      <c r="B11" s="13">
        <f>入力!B19*B8+入力!B20*B9</f>
        <v>0.065125</v>
      </c>
      <c r="C11" s="4" t="s">
        <v>50</v>
      </c>
    </row>
    <row r="12" spans="1:3" x14ac:dyDescent="0.25">
      <c r="A12" s="4" t="s">
        <v>31</v>
      </c>
      <c r="B12" s="12">
        <f>入力!B21</f>
        <v>0.015</v>
      </c>
      <c r="C12" s="4" t="s">
        <v>51</v>
      </c>
    </row>
  </sheetData>
  <mergeCells count="2">
    <mergeCell ref="A1:C1"/>
    <mergeCell ref="A2:C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52</v>
      </c>
      <c r="B1" s="1"/>
      <c r="C1" s="1"/>
      <c r="D1" s="1"/>
      <c r="E1" s="1"/>
      <c r="F1" s="1"/>
    </row>
    <row r="2" ht="30" customHeight="1" spans="1:6" x14ac:dyDescent="0.25">
      <c r="A2" s="2" t="s">
        <v>53</v>
      </c>
      <c r="B2" s="2"/>
      <c r="C2" s="2"/>
      <c r="D2" s="2"/>
      <c r="E2" s="2"/>
      <c r="F2" s="2"/>
    </row>
    <row r="4" ht="28" customHeight="1" spans="1:6" x14ac:dyDescent="0.25">
      <c r="A4" s="7" t="s">
        <v>54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17</v>
      </c>
      <c r="B5" s="14">
        <f>入力!B5</f>
        <v>1100</v>
      </c>
      <c r="C5" s="14">
        <f>入力!C5</f>
        <v>1200</v>
      </c>
      <c r="D5" s="14">
        <f>入力!D5</f>
        <v>1320</v>
      </c>
      <c r="E5" s="14">
        <f>入力!E5</f>
        <v>1452</v>
      </c>
      <c r="F5" s="14">
        <f>入力!F5</f>
        <v>1597.2</v>
      </c>
    </row>
    <row r="6" spans="1:6" x14ac:dyDescent="0.25">
      <c r="A6" s="4" t="s">
        <v>18</v>
      </c>
      <c r="B6" s="14">
        <f>入力!B6</f>
        <v>120</v>
      </c>
      <c r="C6" s="14">
        <f>入力!C6</f>
        <v>140</v>
      </c>
      <c r="D6" s="14">
        <f>入力!D6</f>
        <v>160</v>
      </c>
      <c r="E6" s="14">
        <f>入力!E6</f>
        <v>180</v>
      </c>
      <c r="F6" s="14">
        <f>入力!F6</f>
        <v>200</v>
      </c>
    </row>
    <row r="7" spans="1:6" x14ac:dyDescent="0.25">
      <c r="A7" s="4" t="s">
        <v>19</v>
      </c>
      <c r="B7" s="12">
        <f>入力!B7</f>
        <v>0.3</v>
      </c>
      <c r="C7" s="12">
        <f>入力!C7</f>
        <v>0.3</v>
      </c>
      <c r="D7" s="12">
        <f>入力!D7</f>
        <v>0.3</v>
      </c>
      <c r="E7" s="12">
        <f>入力!E7</f>
        <v>0.3</v>
      </c>
      <c r="F7" s="12">
        <f>入力!F7</f>
        <v>0.3</v>
      </c>
    </row>
    <row r="8" spans="1:6" x14ac:dyDescent="0.25">
      <c r="A8" s="4" t="s">
        <v>55</v>
      </c>
      <c r="B8" s="14">
        <f>-B6*B7</f>
        <v>-36</v>
      </c>
      <c r="C8" s="14">
        <f>-C6*C7</f>
        <v>-42</v>
      </c>
      <c r="D8" s="14">
        <f>-D6*D7</f>
        <v>-48</v>
      </c>
      <c r="E8" s="14">
        <f>-E6*E7</f>
        <v>-54</v>
      </c>
      <c r="F8" s="14">
        <f>-F6*F7</f>
        <v>-60</v>
      </c>
    </row>
    <row r="9" spans="1:6" x14ac:dyDescent="0.25">
      <c r="A9" s="4" t="s">
        <v>56</v>
      </c>
      <c r="B9" s="14">
        <f>B6+B8</f>
        <v>84</v>
      </c>
      <c r="C9" s="14">
        <f>C6+C8</f>
        <v>98</v>
      </c>
      <c r="D9" s="14">
        <f>D6+D8</f>
        <v>112</v>
      </c>
      <c r="E9" s="14">
        <f>E6+E8</f>
        <v>125.99999999999999</v>
      </c>
      <c r="F9" s="14">
        <f>F6+F8</f>
        <v>140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8" customWidth="1"/>
    <col min="2" max="6" width="18" customWidth="1"/>
  </cols>
  <sheetData>
    <row r="1" ht="28" customHeight="1" spans="1:6" x14ac:dyDescent="0.25">
      <c r="A1" s="1" t="s">
        <v>57</v>
      </c>
      <c r="B1" s="1"/>
      <c r="C1" s="1"/>
      <c r="D1" s="1"/>
      <c r="E1" s="1"/>
      <c r="F1" s="1"/>
    </row>
    <row r="2" ht="30" customHeight="1" spans="1:6" x14ac:dyDescent="0.25">
      <c r="A2" s="2" t="s">
        <v>58</v>
      </c>
      <c r="B2" s="2"/>
      <c r="C2" s="2"/>
      <c r="D2" s="2"/>
      <c r="E2" s="2"/>
      <c r="F2" s="2"/>
    </row>
    <row r="4" ht="28" customHeight="1" spans="1:3" x14ac:dyDescent="0.25">
      <c r="A4" s="7" t="s">
        <v>59</v>
      </c>
      <c r="B4" s="7" t="s">
        <v>60</v>
      </c>
      <c r="C4" s="7" t="s">
        <v>61</v>
      </c>
    </row>
    <row r="5" spans="1:3" x14ac:dyDescent="0.25">
      <c r="A5" s="4" t="s">
        <v>32</v>
      </c>
      <c r="B5" s="14">
        <f>入力!B22</f>
        <v>100</v>
      </c>
      <c r="C5" s="4" t="s">
        <v>62</v>
      </c>
    </row>
    <row r="6" spans="1:3" x14ac:dyDescent="0.25">
      <c r="A6" s="4" t="s">
        <v>33</v>
      </c>
      <c r="B6" s="14">
        <f>入力!B23</f>
        <v>350</v>
      </c>
      <c r="C6" s="4" t="s">
        <v>63</v>
      </c>
    </row>
    <row r="7" spans="1:3" x14ac:dyDescent="0.25">
      <c r="A7" s="4" t="s">
        <v>34</v>
      </c>
      <c r="B7" s="14">
        <f>入力!B24</f>
        <v>20</v>
      </c>
      <c r="C7" s="4" t="s">
        <v>63</v>
      </c>
    </row>
    <row r="8" spans="1:3" x14ac:dyDescent="0.25">
      <c r="A8" s="4" t="s">
        <v>35</v>
      </c>
      <c r="B8" s="14">
        <f>入力!B25</f>
        <v>10</v>
      </c>
      <c r="C8" s="4" t="s">
        <v>63</v>
      </c>
    </row>
    <row r="11" ht="28" customHeight="1" spans="1:6" x14ac:dyDescent="0.25">
      <c r="A11" s="7" t="s">
        <v>22</v>
      </c>
      <c r="B11" s="7" t="s">
        <v>12</v>
      </c>
      <c r="C11" s="7" t="s">
        <v>13</v>
      </c>
      <c r="D11" s="7" t="s">
        <v>14</v>
      </c>
      <c r="E11" s="7" t="s">
        <v>15</v>
      </c>
      <c r="F11" s="7" t="s">
        <v>16</v>
      </c>
    </row>
    <row r="12" spans="1:6" x14ac:dyDescent="0.25">
      <c r="A12" s="4"/>
      <c r="B12" s="14">
        <f>入力!B10</f>
        <v>7.2</v>
      </c>
      <c r="C12" s="14">
        <f>入力!C10</f>
        <v>6.9</v>
      </c>
      <c r="D12" s="14">
        <f>入力!D10</f>
        <v>7.9</v>
      </c>
      <c r="E12" s="14">
        <f>入力!E10</f>
        <v>9.5</v>
      </c>
      <c r="F12" s="14">
        <f>入力!F10</f>
        <v>7.7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64</v>
      </c>
      <c r="B1" s="1"/>
      <c r="C1" s="1"/>
      <c r="D1" s="1"/>
      <c r="E1" s="1"/>
      <c r="F1" s="1"/>
    </row>
    <row r="2" ht="30" customHeight="1" spans="1:6" x14ac:dyDescent="0.25">
      <c r="A2" s="2" t="s">
        <v>65</v>
      </c>
      <c r="B2" s="2"/>
      <c r="C2" s="2"/>
      <c r="D2" s="2"/>
      <c r="E2" s="2"/>
      <c r="F2" s="2"/>
    </row>
    <row r="4" ht="28" customHeight="1" spans="1:6" x14ac:dyDescent="0.25">
      <c r="A4" s="7" t="s">
        <v>54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18</v>
      </c>
      <c r="B5" s="14">
        <f>PL!B6</f>
        <v>120</v>
      </c>
      <c r="C5" s="14">
        <f>PL!C6</f>
        <v>140</v>
      </c>
      <c r="D5" s="14">
        <f>PL!D6</f>
        <v>160</v>
      </c>
      <c r="E5" s="14">
        <f>PL!E6</f>
        <v>180</v>
      </c>
      <c r="F5" s="14">
        <f>PL!F6</f>
        <v>200</v>
      </c>
    </row>
    <row r="6" spans="1:6" x14ac:dyDescent="0.25">
      <c r="A6" s="4" t="s">
        <v>19</v>
      </c>
      <c r="B6" s="12">
        <f>入力!B7</f>
        <v>0.3</v>
      </c>
      <c r="C6" s="12">
        <f>入力!C7</f>
        <v>0.3</v>
      </c>
      <c r="D6" s="12">
        <f>入力!D7</f>
        <v>0.3</v>
      </c>
      <c r="E6" s="12">
        <f>入力!E7</f>
        <v>0.3</v>
      </c>
      <c r="F6" s="12">
        <f>入力!F7</f>
        <v>0.3</v>
      </c>
    </row>
    <row r="7" spans="1:6" x14ac:dyDescent="0.25">
      <c r="A7" s="4" t="s">
        <v>56</v>
      </c>
      <c r="B7" s="14">
        <f>B5*(1-B6)</f>
        <v>84</v>
      </c>
      <c r="C7" s="14">
        <f>C5*(1-C6)</f>
        <v>98</v>
      </c>
      <c r="D7" s="14">
        <f>D5*(1-D6)</f>
        <v>112</v>
      </c>
      <c r="E7" s="14">
        <f>E5*(1-E6)</f>
        <v>125.99999999999999</v>
      </c>
      <c r="F7" s="14">
        <f>F5*(1-F6)</f>
        <v>140</v>
      </c>
    </row>
    <row r="8" spans="1:6" x14ac:dyDescent="0.25">
      <c r="A8" s="4" t="s">
        <v>20</v>
      </c>
      <c r="B8" s="14">
        <f>入力!B8</f>
        <v>30</v>
      </c>
      <c r="C8" s="14">
        <f>入力!C8</f>
        <v>32</v>
      </c>
      <c r="D8" s="14">
        <f>入力!D8</f>
        <v>34</v>
      </c>
      <c r="E8" s="14">
        <f>入力!E8</f>
        <v>36</v>
      </c>
      <c r="F8" s="14">
        <f>入力!F8</f>
        <v>38</v>
      </c>
    </row>
    <row r="9" spans="1:6" x14ac:dyDescent="0.25">
      <c r="A9" s="4" t="s">
        <v>21</v>
      </c>
      <c r="B9" s="14">
        <f>入力!B9</f>
        <v>30</v>
      </c>
      <c r="C9" s="14">
        <f>入力!C9</f>
        <v>32</v>
      </c>
      <c r="D9" s="14">
        <f>入力!D9</f>
        <v>34</v>
      </c>
      <c r="E9" s="14">
        <f>入力!E9</f>
        <v>36</v>
      </c>
      <c r="F9" s="14">
        <f>入力!F9</f>
        <v>38</v>
      </c>
    </row>
    <row r="10" spans="1:6" x14ac:dyDescent="0.25">
      <c r="A10" s="4" t="s">
        <v>22</v>
      </c>
      <c r="B10" s="14">
        <f>入力!B10</f>
        <v>7.2</v>
      </c>
      <c r="C10" s="14">
        <f>入力!C10</f>
        <v>6.9</v>
      </c>
      <c r="D10" s="14">
        <f>入力!D10</f>
        <v>7.9</v>
      </c>
      <c r="E10" s="14">
        <f>入力!E10</f>
        <v>9.5</v>
      </c>
      <c r="F10" s="14">
        <f>入力!F10</f>
        <v>7.7</v>
      </c>
    </row>
    <row r="11" spans="1:6" x14ac:dyDescent="0.25">
      <c r="A11" s="4" t="s">
        <v>66</v>
      </c>
      <c r="B11" s="15">
        <f>B5*(1-B6)+B8-B9-B10</f>
        <v>76.8</v>
      </c>
      <c r="C11" s="15">
        <f>C5*(1-C6)+C8-C9-C10</f>
        <v>91.1</v>
      </c>
      <c r="D11" s="15">
        <f>D5*(1-D6)+D8-D9-D10</f>
        <v>104.1</v>
      </c>
      <c r="E11" s="15">
        <f>E5*(1-E6)+E8-E9-E10</f>
        <v>116.5</v>
      </c>
      <c r="F11" s="15">
        <f>F5*(1-F6)+F8-F9-F10</f>
        <v>132.3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4" customWidth="1"/>
    <col min="2" max="6" width="14" customWidth="1"/>
  </cols>
  <sheetData>
    <row r="1" ht="28" customHeight="1" spans="1:6" x14ac:dyDescent="0.25">
      <c r="A1" s="1" t="s">
        <v>67</v>
      </c>
      <c r="B1" s="1"/>
      <c r="C1" s="1"/>
      <c r="D1" s="1"/>
      <c r="E1" s="1"/>
      <c r="F1" s="1"/>
    </row>
    <row r="2" ht="30" customHeight="1" spans="1:6" x14ac:dyDescent="0.25">
      <c r="A2" s="2" t="s">
        <v>68</v>
      </c>
      <c r="B2" s="2"/>
      <c r="C2" s="2"/>
      <c r="D2" s="2"/>
      <c r="E2" s="2"/>
      <c r="F2" s="2"/>
    </row>
    <row r="4" ht="28" customHeight="1" spans="1:6" x14ac:dyDescent="0.25">
      <c r="A4" s="7" t="s">
        <v>69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20</v>
      </c>
      <c r="B5" s="14">
        <f>入力!B8</f>
        <v>30</v>
      </c>
      <c r="C5" s="14">
        <f>入力!C8</f>
        <v>32</v>
      </c>
      <c r="D5" s="14">
        <f>入力!D8</f>
        <v>34</v>
      </c>
      <c r="E5" s="14">
        <f>入力!E8</f>
        <v>36</v>
      </c>
      <c r="F5" s="14">
        <f>入力!F8</f>
        <v>38</v>
      </c>
    </row>
    <row r="6" spans="1:6" x14ac:dyDescent="0.25">
      <c r="A6" s="4" t="s">
        <v>21</v>
      </c>
      <c r="B6" s="14">
        <f>入力!B9</f>
        <v>30</v>
      </c>
      <c r="C6" s="14">
        <f>入力!C9</f>
        <v>32</v>
      </c>
      <c r="D6" s="14">
        <f>入力!D9</f>
        <v>34</v>
      </c>
      <c r="E6" s="14">
        <f>入力!E9</f>
        <v>36</v>
      </c>
      <c r="F6" s="14">
        <f>入力!F9</f>
        <v>38</v>
      </c>
    </row>
    <row r="7" spans="1:6" x14ac:dyDescent="0.25">
      <c r="A7" s="4" t="s">
        <v>22</v>
      </c>
      <c r="B7" s="14">
        <f>入力!B10</f>
        <v>7.2</v>
      </c>
      <c r="C7" s="14">
        <f>入力!C10</f>
        <v>6.9</v>
      </c>
      <c r="D7" s="14">
        <f>入力!D10</f>
        <v>7.9</v>
      </c>
      <c r="E7" s="14">
        <f>入力!E10</f>
        <v>9.5</v>
      </c>
      <c r="F7" s="14">
        <f>入力!F10</f>
        <v>7.7</v>
      </c>
    </row>
    <row r="8" spans="1:6" x14ac:dyDescent="0.25">
      <c r="A8" s="4" t="s">
        <v>70</v>
      </c>
      <c r="B8" s="4"/>
      <c r="C8" s="4"/>
      <c r="D8" s="4"/>
      <c r="E8" s="4"/>
      <c r="F8" s="4"/>
    </row>
    <row r="9" spans="1:6" x14ac:dyDescent="0.25">
      <c r="A9" s="4" t="s">
        <v>71</v>
      </c>
      <c r="B9" s="4">
        <v>1</v>
      </c>
      <c r="C9" s="4">
        <v>2</v>
      </c>
      <c r="D9" s="4">
        <v>3</v>
      </c>
      <c r="E9" s="4">
        <v>4</v>
      </c>
      <c r="F9" s="4">
        <v>5</v>
      </c>
    </row>
    <row r="10" spans="1:6" x14ac:dyDescent="0.25">
      <c r="A10" s="4" t="s">
        <v>72</v>
      </c>
      <c r="B10" s="16">
        <f>1/(1+前提!$B$11)^B9</f>
        <v>0.9388569416735124</v>
      </c>
      <c r="C10" s="16">
        <f>1/(1+前提!$B$11)^C9</f>
        <v>0.8814523569285412</v>
      </c>
      <c r="D10" s="16">
        <f>1/(1+前提!$B$11)^D9</f>
        <v>0.8275576640568393</v>
      </c>
      <c r="E10" s="16">
        <f>1/(1+前提!$B$11)^E9</f>
        <v>0.7769582575348801</v>
      </c>
      <c r="F10" s="16">
        <f>1/(1+前提!$B$11)^F9</f>
        <v>0.7294526534771788</v>
      </c>
    </row>
  </sheetData>
  <mergeCells count="2">
    <mergeCell ref="A1:F1"/>
    <mergeCell ref="A2:F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0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28" customWidth="1"/>
    <col min="2" max="7" width="16" customWidth="1"/>
  </cols>
  <sheetData>
    <row r="1" ht="28" customHeight="1" spans="1:7" x14ac:dyDescent="0.25">
      <c r="A1" s="1" t="s">
        <v>73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74</v>
      </c>
      <c r="B2" s="2"/>
      <c r="C2" s="2"/>
      <c r="D2" s="2"/>
      <c r="E2" s="2"/>
      <c r="F2" s="2"/>
      <c r="G2" s="2"/>
    </row>
    <row r="4" ht="28" customHeight="1" spans="1:6" x14ac:dyDescent="0.25">
      <c r="A4" s="7" t="s">
        <v>75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</row>
    <row r="5" spans="1:6" x14ac:dyDescent="0.25">
      <c r="A5" s="4" t="s">
        <v>66</v>
      </c>
      <c r="B5" s="14">
        <f>CF!B11</f>
        <v>76.8</v>
      </c>
      <c r="C5" s="14">
        <f>CF!C11</f>
        <v>91.1</v>
      </c>
      <c r="D5" s="14">
        <f>CF!D11</f>
        <v>104.1</v>
      </c>
      <c r="E5" s="14">
        <f>CF!E11</f>
        <v>116.5</v>
      </c>
      <c r="F5" s="14">
        <f>CF!F11</f>
        <v>132.3</v>
      </c>
    </row>
    <row r="6" spans="1:6" x14ac:dyDescent="0.25">
      <c r="A6" s="4" t="s">
        <v>72</v>
      </c>
      <c r="B6" s="16">
        <f>計算明細!B10</f>
        <v>0.9388569416735124</v>
      </c>
      <c r="C6" s="16">
        <f>計算明細!C10</f>
        <v>0.8814523569285412</v>
      </c>
      <c r="D6" s="16">
        <f>計算明細!D10</f>
        <v>0.8275576640568393</v>
      </c>
      <c r="E6" s="16">
        <f>計算明細!E10</f>
        <v>0.7769582575348801</v>
      </c>
      <c r="F6" s="16">
        <f>計算明細!F10</f>
        <v>0.7294526534771788</v>
      </c>
    </row>
    <row r="7" spans="1:6" x14ac:dyDescent="0.25">
      <c r="A7" s="4" t="s">
        <v>76</v>
      </c>
      <c r="B7" s="14">
        <f>B5*B6</f>
        <v>72.10421312052576</v>
      </c>
      <c r="C7" s="14">
        <f>C5*C6</f>
        <v>80.3003097161901</v>
      </c>
      <c r="D7" s="14">
        <f>D5*D6</f>
        <v>86.14875282831696</v>
      </c>
      <c r="E7" s="14">
        <f>E5*E6</f>
        <v>90.51563700281353</v>
      </c>
      <c r="F7" s="14">
        <f>F5*F6</f>
        <v>96.50658605503077</v>
      </c>
    </row>
    <row r="10" spans="1:2" x14ac:dyDescent="0.25">
      <c r="A10" s="4" t="s">
        <v>77</v>
      </c>
      <c r="B10" s="14">
        <f>SUM(B7:F7)</f>
        <v>425.5754987228771</v>
      </c>
    </row>
    <row r="11" spans="1:2" x14ac:dyDescent="0.25">
      <c r="A11" s="4" t="s">
        <v>78</v>
      </c>
      <c r="B11" s="14">
        <f>F5*(1+前提!$B$12)</f>
        <v>134.2845</v>
      </c>
    </row>
    <row r="12" spans="1:2" x14ac:dyDescent="0.25">
      <c r="A12" s="4" t="s">
        <v>79</v>
      </c>
      <c r="B12" s="14">
        <f>IF(前提!$B$11&lt;=前提!$B$12,NA(),B11/(前提!$B$11-前提!$B$12))</f>
        <v>2678.992518703242</v>
      </c>
    </row>
    <row r="13" spans="1:2" x14ac:dyDescent="0.25">
      <c r="A13" s="4" t="s">
        <v>80</v>
      </c>
      <c r="B13" s="14">
        <f>B12*F6</f>
        <v>1954.1982014135904</v>
      </c>
    </row>
    <row r="14" spans="1:2" x14ac:dyDescent="0.25">
      <c r="A14" s="4" t="s">
        <v>81</v>
      </c>
      <c r="B14" s="17">
        <f>B10+B13</f>
        <v>2379.7737001364676</v>
      </c>
    </row>
    <row r="15" spans="1:2" x14ac:dyDescent="0.25">
      <c r="A15" s="4"/>
      <c r="B15" s="4"/>
    </row>
    <row r="16" spans="1:2" x14ac:dyDescent="0.25">
      <c r="A16" s="4" t="s">
        <v>32</v>
      </c>
      <c r="B16" s="14">
        <f>入力!B22</f>
        <v>100</v>
      </c>
    </row>
    <row r="17" spans="1:2" x14ac:dyDescent="0.25">
      <c r="A17" s="4" t="s">
        <v>33</v>
      </c>
      <c r="B17" s="14">
        <f>入力!B23</f>
        <v>350</v>
      </c>
    </row>
    <row r="18" spans="1:2" x14ac:dyDescent="0.25">
      <c r="A18" s="4" t="s">
        <v>34</v>
      </c>
      <c r="B18" s="14">
        <f>入力!B24</f>
        <v>20</v>
      </c>
    </row>
    <row r="19" spans="1:2" x14ac:dyDescent="0.25">
      <c r="A19" s="4" t="s">
        <v>35</v>
      </c>
      <c r="B19" s="14">
        <f>入力!B25</f>
        <v>10</v>
      </c>
    </row>
    <row r="20" spans="1:2" x14ac:dyDescent="0.25">
      <c r="A20" s="4" t="s">
        <v>82</v>
      </c>
      <c r="B20" s="17">
        <f>B14+B16-B17-B18-B19</f>
        <v>2099.7737001364676</v>
      </c>
    </row>
    <row r="24" spans="1:1" x14ac:dyDescent="0.25">
      <c r="A24" t="s">
        <v>83</v>
      </c>
    </row>
    <row r="25" ht="28" customHeight="1" spans="2:7" x14ac:dyDescent="0.25">
      <c r="B25" s="7" t="s">
        <v>84</v>
      </c>
      <c r="C25" s="18">
        <v>0.005</v>
      </c>
      <c r="D25" s="18">
        <v>0.01</v>
      </c>
      <c r="E25" s="18">
        <v>0.015</v>
      </c>
      <c r="F25" s="18">
        <v>0.02</v>
      </c>
      <c r="G25" s="18">
        <v>0.025</v>
      </c>
    </row>
    <row r="26" spans="2:7" x14ac:dyDescent="0.25">
      <c r="B26" s="19">
        <v>0.055</v>
      </c>
      <c r="C26" s="14">
        <f>IF($B26&lt;=C$25,NA(),$B$5/(1+$B26)^1+$C$5/(1+$B26)^2+$D$5/(1+$B26)^3+$E$5/(1+$B26)^4+$F$5/(1+$B26)^5+($F$5*(1+C$25)/($B26-C$25))/(1+$B26)^5)</f>
        <v>2473.2344594162128</v>
      </c>
      <c r="D26" s="14">
        <f>IF($B26&lt;=D$25,NA(),$B$5/(1+$B26)^1+$C$5/(1+$B26)^2+$D$5/(1+$B26)^3+$E$5/(1+$B26)^4+$F$5/(1+$B26)^5+($F$5*(1+D$25)/($B26-D$25))/(1+$B26)^5)</f>
        <v>2710.5561819470604</v>
      </c>
      <c r="E26" s="14">
        <f>IF($B26&lt;=E$25,NA(),$B$5/(1+$B26)^1+$C$5/(1+$B26)^2+$D$5/(1+$B26)^3+$E$5/(1+$B26)^4+$F$5/(1+$B26)^5+($F$5*(1+E$25)/($B26-E$25))/(1+$B26)^5)</f>
        <v>3007.2083351106194</v>
      </c>
      <c r="F26" s="14">
        <f>IF($B26&lt;=F$25,NA(),$B$5/(1+$B26)^1+$C$5/(1+$B26)^2+$D$5/(1+$B26)^3+$E$5/(1+$B26)^4+$F$5/(1+$B26)^5+($F$5*(1+F$25)/($B26-F$25))/(1+$B26)^5)</f>
        <v>3388.6182463209097</v>
      </c>
      <c r="G26" s="14">
        <f>IF($B26&lt;=G$25,NA(),$B$5/(1+$B26)^1+$C$5/(1+$B26)^2+$D$5/(1+$B26)^3+$E$5/(1+$B26)^4+$F$5/(1+$B26)^5+($F$5*(1+G$25)/($B26-G$25))/(1+$B26)^5)</f>
        <v>3897.1647946012968</v>
      </c>
    </row>
    <row r="27" spans="2:7" x14ac:dyDescent="0.25">
      <c r="B27" s="19">
        <v>0.06</v>
      </c>
      <c r="C27" s="14">
        <f>IF($B27&lt;=C$25,NA(),$B$5/(1+$B27)^1+$C$5/(1+$B27)^2+$D$5/(1+$B27)^3+$E$5/(1+$B27)^4+$F$5/(1+$B27)^5+($F$5*(1+C$25)/($B27-C$25))/(1+$B27)^5)</f>
        <v>2238.5600876665067</v>
      </c>
      <c r="D27" s="14">
        <f>IF($B27&lt;=D$25,NA(),$B$5/(1+$B27)^1+$C$5/(1+$B27)^2+$D$5/(1+$B27)^3+$E$5/(1+$B27)^4+$F$5/(1+$B27)^5+($F$5*(1+D$25)/($B27-D$25))/(1+$B27)^5)</f>
        <v>2429.094617932671</v>
      </c>
      <c r="E27" s="14">
        <f>IF($B27&lt;=E$25,NA(),$B$5/(1+$B27)^1+$C$5/(1+$B27)^2+$D$5/(1+$B27)^3+$E$5/(1+$B27)^4+$F$5/(1+$B27)^5+($F$5*(1+E$25)/($B27-E$25))/(1+$B27)^5)</f>
        <v>2661.9701549246493</v>
      </c>
      <c r="F27" s="14">
        <f>IF($B27&lt;=F$25,NA(),$B$5/(1+$B27)^1+$C$5/(1+$B27)^2+$D$5/(1+$B27)^3+$E$5/(1+$B27)^4+$F$5/(1+$B27)^5+($F$5*(1+F$25)/($B27-F$25))/(1+$B27)^5)</f>
        <v>2953.064576164622</v>
      </c>
      <c r="G27" s="14">
        <f>IF($B27&lt;=G$25,NA(),$B$5/(1+$B27)^1+$C$5/(1+$B27)^2+$D$5/(1+$B27)^3+$E$5/(1+$B27)^4+$F$5/(1+$B27)^5+($F$5*(1+G$25)/($B27-G$25))/(1+$B27)^5)</f>
        <v>3327.3288320445854</v>
      </c>
    </row>
    <row r="28" spans="2:7" x14ac:dyDescent="0.25">
      <c r="B28" s="19">
        <v>0.065</v>
      </c>
      <c r="C28" s="14">
        <f>IF($B28&lt;=C$25,NA(),$B$5/(1+$B28)^1+$C$5/(1+$B28)^2+$D$5/(1+$B28)^3+$E$5/(1+$B28)^4+$F$5/(1+$B28)^5+($F$5*(1+C$25)/($B28-C$25))/(1+$B28)^5)</f>
        <v>2043.1664826857082</v>
      </c>
      <c r="D28" s="14">
        <f>IF($B28&lt;=D$25,NA(),$B$5/(1+$B28)^1+$C$5/(1+$B28)^2+$D$5/(1+$B28)^3+$E$5/(1+$B28)^4+$F$5/(1+$B28)^5+($F$5*(1+D$25)/($B28-D$25))/(1+$B28)^5)</f>
        <v>2198.984429542352</v>
      </c>
      <c r="E28" s="14">
        <f>IF($B28&lt;=E$25,NA(),$B$5/(1+$B28)^1+$C$5/(1+$B28)^2+$D$5/(1+$B28)^3+$E$5/(1+$B28)^4+$F$5/(1+$B28)^5+($F$5*(1+E$25)/($B28-E$25))/(1+$B28)^5)</f>
        <v>2385.965965770323</v>
      </c>
      <c r="F28" s="14">
        <f>IF($B28&lt;=F$25,NA(),$B$5/(1+$B28)^1+$C$5/(1+$B28)^2+$D$5/(1+$B28)^3+$E$5/(1+$B28)^4+$F$5/(1+$B28)^5+($F$5*(1+F$25)/($B28-F$25))/(1+$B28)^5)</f>
        <v>2614.498954493399</v>
      </c>
      <c r="G28" s="14">
        <f>IF($B28&lt;=G$25,NA(),$B$5/(1+$B28)^1+$C$5/(1+$B28)^2+$D$5/(1+$B28)^3+$E$5/(1+$B28)^4+$F$5/(1+$B28)^5+($F$5*(1+G$25)/($B28-G$25))/(1+$B28)^5)</f>
        <v>2900.165190397244</v>
      </c>
    </row>
    <row r="29" spans="2:7" x14ac:dyDescent="0.25">
      <c r="B29" s="19">
        <v>0.07</v>
      </c>
      <c r="C29" s="14">
        <f>IF($B29&lt;=C$25,NA(),$B$5/(1+$B29)^1+$C$5/(1+$B29)^2+$D$5/(1+$B29)^3+$E$5/(1+$B29)^4+$F$5/(1+$B29)^5+($F$5*(1+C$25)/($B29-C$25))/(1+$B29)^5)</f>
        <v>1877.9850480202597</v>
      </c>
      <c r="D29" s="14">
        <f>IF($B29&lt;=D$25,NA(),$B$5/(1+$B29)^1+$C$5/(1+$B29)^2+$D$5/(1+$B29)^3+$E$5/(1+$B29)^4+$F$5/(1+$B29)^5+($F$5*(1+D$25)/($B29-D$25))/(1+$B29)^5)</f>
        <v>2007.3838128329362</v>
      </c>
      <c r="E29" s="14">
        <f>IF($B29&lt;=E$25,NA(),$B$5/(1+$B29)^1+$C$5/(1+$B29)^2+$D$5/(1+$B29)^3+$E$5/(1+$B29)^4+$F$5/(1+$B29)^5+($F$5*(1+E$25)/($B29-E$25))/(1+$B29)^5)</f>
        <v>2160.309625793372</v>
      </c>
      <c r="F29" s="14">
        <f>IF($B29&lt;=F$25,NA(),$B$5/(1+$B29)^1+$C$5/(1+$B29)^2+$D$5/(1+$B29)^3+$E$5/(1+$B29)^4+$F$5/(1+$B29)^5+($F$5*(1+F$25)/($B29-F$25))/(1+$B29)^5)</f>
        <v>2343.820601345895</v>
      </c>
      <c r="G29" s="14">
        <f>IF($B29&lt;=G$25,NA(),$B$5/(1+$B29)^1+$C$5/(1+$B29)^2+$D$5/(1+$B29)^3+$E$5/(1+$B29)^4+$F$5/(1+$B29)^5+($F$5*(1+G$25)/($B29-G$25))/(1+$B29)^5)</f>
        <v>2568.1117936878663</v>
      </c>
    </row>
    <row r="30" spans="2:7" x14ac:dyDescent="0.25">
      <c r="B30" s="19">
        <v>0.075</v>
      </c>
      <c r="C30" s="14">
        <f>IF($B30&lt;=C$25,NA(),$B$5/(1+$B30)^1+$C$5/(1+$B30)^2+$D$5/(1+$B30)^3+$E$5/(1+$B30)^4+$F$5/(1+$B30)^5+($F$5*(1+C$25)/($B30-C$25))/(1+$B30)^5)</f>
        <v>1736.5383197208616</v>
      </c>
      <c r="D30" s="14">
        <f>IF($B30&lt;=D$25,NA(),$B$5/(1+$B30)^1+$C$5/(1+$B30)^2+$D$5/(1+$B30)^3+$E$5/(1+$B30)^4+$F$5/(1+$B30)^5+($F$5*(1+D$25)/($B30-D$25))/(1+$B30)^5)</f>
        <v>1845.402396742196</v>
      </c>
      <c r="E30" s="14">
        <f>IF($B30&lt;=E$25,NA(),$B$5/(1+$B30)^1+$C$5/(1+$B30)^2+$D$5/(1+$B30)^3+$E$5/(1+$B30)^4+$F$5/(1+$B30)^5+($F$5*(1+E$25)/($B30-E$25))/(1+$B30)^5)</f>
        <v>1972.4104866004197</v>
      </c>
      <c r="F30" s="14">
        <f>IF($B30&lt;=F$25,NA(),$B$5/(1+$B30)^1+$C$5/(1+$B30)^2+$D$5/(1+$B30)^3+$E$5/(1+$B30)^4+$F$5/(1+$B30)^5+($F$5*(1+F$25)/($B30-F$25))/(1+$B30)^5)</f>
        <v>2122.5109564328664</v>
      </c>
      <c r="G30" s="14">
        <f>IF($B30&lt;=G$25,NA(),$B$5/(1+$B30)^1+$C$5/(1+$B30)^2+$D$5/(1+$B30)^3+$E$5/(1+$B30)^4+$F$5/(1+$B30)^5+($F$5*(1+G$25)/($B30-G$25))/(1+$B30)^5)</f>
        <v>2302.631520231801</v>
      </c>
    </row>
  </sheetData>
  <mergeCells count="2">
    <mergeCell ref="A1:G1"/>
    <mergeCell ref="A2:G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1"/>
  <sheetViews>
    <sheetView workbookViewId="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55"/>
  <cols>
    <col min="1" max="1" width="30" customWidth="1"/>
    <col min="2" max="2" width="24" customWidth="1"/>
    <col min="3" max="3" width="20" customWidth="1"/>
    <col min="4" max="4" width="32" customWidth="1"/>
  </cols>
  <sheetData>
    <row r="1" ht="28" customHeight="1" spans="1:4" x14ac:dyDescent="0.25">
      <c r="A1" s="1" t="s">
        <v>85</v>
      </c>
      <c r="B1" s="1"/>
      <c r="C1" s="1"/>
      <c r="D1" s="1"/>
    </row>
    <row r="2" ht="30" customHeight="1" spans="1:4" x14ac:dyDescent="0.25">
      <c r="A2" s="2" t="s">
        <v>86</v>
      </c>
      <c r="B2" s="2"/>
      <c r="C2" s="2"/>
      <c r="D2" s="2"/>
    </row>
    <row r="4" ht="28" customHeight="1" spans="1:4" x14ac:dyDescent="0.25">
      <c r="A4" s="7" t="s">
        <v>87</v>
      </c>
      <c r="B4" s="7" t="s">
        <v>88</v>
      </c>
      <c r="C4" s="7" t="s">
        <v>89</v>
      </c>
      <c r="D4" s="7" t="s">
        <v>90</v>
      </c>
    </row>
    <row r="5" spans="1:4" x14ac:dyDescent="0.25">
      <c r="A5" s="4" t="s">
        <v>47</v>
      </c>
      <c r="B5" s="12">
        <f>入力!B19+入力!B20</f>
        <v>1</v>
      </c>
      <c r="C5" s="20" t="str">
        <f>IF(ABS(B5-1)&lt;0.000001,"適合","要確認")</f>
        <v>適合</v>
      </c>
      <c r="D5" s="4" t="s">
        <v>91</v>
      </c>
    </row>
    <row r="6" spans="1:4" x14ac:dyDescent="0.25">
      <c r="A6" s="4" t="s">
        <v>92</v>
      </c>
      <c r="B6" s="21" t="b">
        <f>前提!B11&gt;前提!B12</f>
        <v>1</v>
      </c>
      <c r="C6" s="20" t="str">
        <f>IF(B6,"適合","要確認")</f>
        <v>適合</v>
      </c>
      <c r="D6" s="4" t="s">
        <v>93</v>
      </c>
    </row>
    <row r="7" spans="1:4" x14ac:dyDescent="0.25">
      <c r="A7" s="4" t="s">
        <v>94</v>
      </c>
      <c r="B7" s="22">
        <f>DCF!B20-(DCF!B14+DCF!B16-DCF!B17-DCF!B18-DCF!B19)</f>
        <v>0</v>
      </c>
      <c r="C7" s="20" t="str">
        <f>IF(ABS(B7)&lt;0.000001,"適合","要確認")</f>
        <v>適合</v>
      </c>
      <c r="D7" s="4" t="s">
        <v>95</v>
      </c>
    </row>
    <row r="8" spans="1:4" x14ac:dyDescent="0.25">
      <c r="A8" s="4" t="s">
        <v>96</v>
      </c>
      <c r="B8" s="23">
        <f>SUMPRODUCT(--ISERROR(前提!B8:B12))+SUMPRODUCT(--ISERROR(PL!B5:F9))+SUMPRODUCT(--ISERROR(BS!B5:F12))+SUMPRODUCT(--ISERROR(CF!B5:F11))+SUMPRODUCT(--ISERROR(計算明細!B5:F10))+SUMPRODUCT(--ISERROR(DCF!B5:G30))</f>
        <v>0</v>
      </c>
      <c r="C8" s="20" t="str">
        <f>IF(B8=0,"適合","要確認")</f>
        <v>適合</v>
      </c>
      <c r="D8" s="4" t="s">
        <v>97</v>
      </c>
    </row>
    <row r="9" spans="1:4" x14ac:dyDescent="0.25">
      <c r="A9" s="4"/>
      <c r="B9" s="4"/>
      <c r="C9" s="4"/>
      <c r="D9" s="4"/>
    </row>
    <row r="10" spans="1:4" x14ac:dyDescent="0.25">
      <c r="A10" s="4" t="s">
        <v>3</v>
      </c>
      <c r="B10" s="20" t="str">
        <f>IF(COUNTIF(C5:C8,"&lt;&gt;適合")=0,"適合","要確認")</f>
        <v>適合</v>
      </c>
      <c r="C10" s="4"/>
      <c r="D10" s="4"/>
    </row>
    <row r="11" spans="1:4" x14ac:dyDescent="0.25">
      <c r="A11" s="4" t="s">
        <v>4</v>
      </c>
      <c r="B11" s="21" t="str">
        <f>"教育用サンプル・出所確認が必要"</f>
        <v>教育用サンプル・出所確認が必要</v>
      </c>
      <c r="C11" s="4"/>
      <c r="D11" s="4"/>
    </row>
  </sheetData>
  <mergeCells count="2">
    <mergeCell ref="A1:D1"/>
    <mergeCell ref="A2:D2"/>
  </mergeCells>
  <pageMargins left="0.25" right="0.25" top="0.5" bottom="0.5" header="0.2" footer="0.2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表紙</vt:lpstr>
      <vt:lpstr>入力</vt:lpstr>
      <vt:lpstr>前提</vt:lpstr>
      <vt:lpstr>PL</vt:lpstr>
      <vt:lpstr>BS</vt:lpstr>
      <vt:lpstr>CF</vt:lpstr>
      <vt:lpstr>計算明細</vt:lpstr>
      <vt:lpstr>DCF</vt:lpstr>
      <vt:lpstr>チェック</vt:lpstr>
    </vt:vector>
  </TitlesOfParts>
  <Company>Finance Modeling Lab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>DCF評価モデル（教育用サンプル）</dc:title>
  <dc:subject>FCFF、WACC、継続価値、Enterprise ValueからEquity Valueへの調整を学ぶ実務演習モデル</dc:subject>
  <dc:description/>
  <cp:keywords/>
  <cp:category/>
  <cp:lastModifiedBy>Unknown</cp:lastModifiedBy>
  <dcterms:created xsi:type="dcterms:W3CDTF">2026-07-21T15:00:00Z</dcterms:created>
  <dcterms:modified xsi:type="dcterms:W3CDTF">2026-07-21T15:00:00Z</dcterms:modified>
</cp:coreProperties>
</file>