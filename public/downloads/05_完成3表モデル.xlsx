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表紙" state="visible" r:id="rId4"/>
    <sheet sheetId="2" name="入力" state="visible" r:id="rId5"/>
    <sheet sheetId="3" name="前提" state="visible" r:id="rId6"/>
    <sheet sheetId="4" name="PL" state="visible" r:id="rId7"/>
    <sheet sheetId="5" name="BS" state="visible" r:id="rId8"/>
    <sheet sheetId="6" name="CF" state="visible" r:id="rId9"/>
    <sheet sheetId="7" name="計算明細" state="visible" r:id="rId10"/>
    <sheet sheetId="8" name="チェック" state="visible" r:id="rId11"/>
  </sheets>
  <definedNames>
    <definedName name="_xlnm.Print_Area" localSheetId="0">'表紙'!$A1:$F30</definedName>
    <definedName name="_xlnm.Print_Area" localSheetId="1">'入力'!$A1:$F30</definedName>
    <definedName name="_xlnm.Print_Area" localSheetId="2">'前提'!$A1:$F30</definedName>
    <definedName name="_xlnm.Print_Area" localSheetId="3">'PL'!$A1:$F30</definedName>
    <definedName name="_xlnm.Print_Area" localSheetId="4">'BS'!$A1:$F30</definedName>
    <definedName name="_xlnm.Print_Area" localSheetId="5">'CF'!$A1:$F30</definedName>
    <definedName name="_xlnm.Print_Area" localSheetId="6">'計算明細'!$A1:$F30</definedName>
    <definedName name="_xlnm.Print_Area" localSheetId="7">'チェック'!$A1:$F30</definedName>
  </definedNames>
  <calcPr calcId="171027" fullCalcOnLoad="1"/>
</workbook>
</file>

<file path=xl/sharedStrings.xml><?xml version="1.0" encoding="utf-8"?>
<sst xmlns="http://schemas.openxmlformats.org/spreadsheetml/2006/main" count="68" uniqueCount="54">
  <si>
    <t>表紙</t>
  </si>
  <si>
    <t>青色セルへ入力し、数式セルとチェック結果を確認してください。単位：百万円。</t>
  </si>
  <si>
    <t>手順</t>
  </si>
  <si>
    <t>作業</t>
  </si>
  <si>
    <t>確認事項</t>
  </si>
  <si>
    <t>成果物</t>
  </si>
  <si>
    <t>前提を入力</t>
  </si>
  <si>
    <t>基準日・単位・出所を記録</t>
  </si>
  <si>
    <t>入力済み前提</t>
  </si>
  <si>
    <t>計算を確認</t>
  </si>
  <si>
    <t>数式の流れと符号を確認</t>
  </si>
  <si>
    <t>計算明細</t>
  </si>
  <si>
    <t>チェックを実施</t>
  </si>
  <si>
    <t>差額がゼロ、判定が適合</t>
  </si>
  <si>
    <t>レビュー可能なモデル</t>
  </si>
  <si>
    <t>入力</t>
  </si>
  <si>
    <t>実績値と予測前提を入力します。青色セルのみ手入力です。</t>
  </si>
  <si>
    <t>項目</t>
  </si>
  <si>
    <t>2025年度実績</t>
  </si>
  <si>
    <t>2026年度予測</t>
  </si>
  <si>
    <t>単位</t>
  </si>
  <si>
    <t>出所</t>
  </si>
  <si>
    <t>売上高</t>
  </si>
  <si>
    <t>売上原価</t>
  </si>
  <si>
    <t>売掛金</t>
  </si>
  <si>
    <t>設備投資</t>
  </si>
  <si>
    <t>前提</t>
  </si>
  <si>
    <t>予測計算に用いる前提を集約します。</t>
  </si>
  <si>
    <t>前提項目</t>
  </si>
  <si>
    <t>入力値</t>
  </si>
  <si>
    <t>根拠</t>
  </si>
  <si>
    <t>法人実効税率</t>
  </si>
  <si>
    <t>%</t>
  </si>
  <si>
    <t>会社計画</t>
  </si>
  <si>
    <t>PL</t>
  </si>
  <si>
    <t>売上高から営業利益までを一方向の数式で計算します。</t>
  </si>
  <si>
    <t>売上総利益</t>
  </si>
  <si>
    <t>BS</t>
  </si>
  <si>
    <t>期末残高を計算し、資産と負債・純資産の一致を確認します。</t>
  </si>
  <si>
    <t>現金及び預金</t>
  </si>
  <si>
    <t>資産合計</t>
  </si>
  <si>
    <t>CF</t>
  </si>
  <si>
    <t>営業・投資・財務キャッシュ・フローから期末現金を計算します。</t>
  </si>
  <si>
    <t>営業キャッシュ・フロー</t>
  </si>
  <si>
    <t>投資キャッシュ・フロー</t>
  </si>
  <si>
    <t>現金増減</t>
  </si>
  <si>
    <t>期末現金</t>
  </si>
  <si>
    <t>運転資本、固定資産、借入金の計算根拠を記録する作業シートです。</t>
  </si>
  <si>
    <t>チェック</t>
  </si>
  <si>
    <t>モデルの主要な整合性を数式で確認します。</t>
  </si>
  <si>
    <t>チェック項目</t>
  </si>
  <si>
    <t>計算結果</t>
  </si>
  <si>
    <t>判定</t>
  </si>
  <si>
    <t>数式エラー件数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</si>
</sst>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6" x14ac:knownFonts="1">
    <font>
      <color theme="1"/>
      <family val="2"/>
      <scheme val="minor"/>
      <sz val="11"/>
      <name val="Calibri"/>
    </font>
    <font>
      <b/>
      <color rgb="FFFFFFFF"/>
      <sz val="16"/>
      <name val="Yu Gothic"/>
    </font>
    <font>
      <color rgb="FF147D73"/>
      <name val="Yu Gothic"/>
    </font>
    <font>
      <b/>
      <color rgb="FFFFFFFF"/>
      <name val="Yu Gothic"/>
    </font>
    <font>
      <sz val="10"/>
      <name val="Yu Gothic"/>
    </font>
    <font>
      <color rgb="FF1F4E78"/>
      <name val="Yu Gothic"/>
    </font>
  </fonts>
  <fills count="6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E7F0FF"/>
      </patternFill>
    </fill>
    <fill>
      <patternFill patternType="solid">
        <fgColor rgb="FFE9F6E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E0E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164" fontId="5" fillId="4" borderId="0" xfId="0" applyNumberFormat="1" applyFont="1" applyFill="1"/>
    <xf numFmtId="165" fontId="5" fillId="4" borderId="0" xfId="0" applyNumberFormat="1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spans="1:4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4">
        <v>1</v>
      </c>
      <c r="B5" s="4" t="s">
        <v>6</v>
      </c>
      <c r="C5" s="4" t="s">
        <v>7</v>
      </c>
      <c r="D5" s="4" t="s">
        <v>8</v>
      </c>
    </row>
    <row r="6" spans="1:4" x14ac:dyDescent="0.25">
      <c r="A6" s="4">
        <v>2</v>
      </c>
      <c r="B6" s="4" t="s">
        <v>9</v>
      </c>
      <c r="C6" s="4" t="s">
        <v>10</v>
      </c>
      <c r="D6" s="4" t="s">
        <v>11</v>
      </c>
    </row>
    <row r="7" spans="1:4" x14ac:dyDescent="0.25">
      <c r="A7" s="4">
        <v>3</v>
      </c>
      <c r="B7" s="4" t="s">
        <v>12</v>
      </c>
      <c r="C7" s="4" t="s">
        <v>13</v>
      </c>
      <c r="D7" s="4" t="s">
        <v>14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15</v>
      </c>
      <c r="B1" s="1"/>
      <c r="C1" s="1"/>
      <c r="D1" s="1"/>
      <c r="E1" s="1"/>
      <c r="F1" s="1"/>
    </row>
    <row r="2" spans="1:6" x14ac:dyDescent="0.25">
      <c r="A2" s="2" t="s">
        <v>16</v>
      </c>
      <c r="B2" s="2"/>
      <c r="C2" s="2"/>
      <c r="D2" s="2"/>
      <c r="E2" s="2"/>
      <c r="F2" s="2"/>
    </row>
    <row r="4" spans="1:5" x14ac:dyDescent="0.25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</row>
    <row r="5" spans="1:3" x14ac:dyDescent="0.25">
      <c r="A5" t="s">
        <v>22</v>
      </c>
      <c r="B5" s="5">
        <v>1000</v>
      </c>
      <c r="C5" s="5">
        <v>1100</v>
      </c>
    </row>
    <row r="6" spans="1:3" x14ac:dyDescent="0.25">
      <c r="A6" t="s">
        <v>23</v>
      </c>
      <c r="B6" s="5">
        <v>650</v>
      </c>
      <c r="C6" s="5">
        <v>700</v>
      </c>
    </row>
    <row r="7" spans="1:3" x14ac:dyDescent="0.25">
      <c r="A7" t="s">
        <v>24</v>
      </c>
      <c r="B7" s="5">
        <v>120</v>
      </c>
      <c r="C7" s="5">
        <v>132</v>
      </c>
    </row>
    <row r="8" spans="1:3" x14ac:dyDescent="0.25">
      <c r="A8" t="s">
        <v>25</v>
      </c>
      <c r="B8" s="5">
        <v>40</v>
      </c>
      <c r="C8" s="5">
        <v>45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26</v>
      </c>
      <c r="B1" s="1"/>
      <c r="C1" s="1"/>
      <c r="D1" s="1"/>
      <c r="E1" s="1"/>
      <c r="F1" s="1"/>
    </row>
    <row r="2" spans="1:6" x14ac:dyDescent="0.25">
      <c r="A2" s="2" t="s">
        <v>27</v>
      </c>
      <c r="B2" s="2"/>
      <c r="C2" s="2"/>
      <c r="D2" s="2"/>
      <c r="E2" s="2"/>
      <c r="F2" s="2"/>
    </row>
    <row r="4" spans="1:4" x14ac:dyDescent="0.25">
      <c r="A4" s="3" t="s">
        <v>28</v>
      </c>
      <c r="B4" s="3" t="s">
        <v>29</v>
      </c>
      <c r="C4" s="3" t="s">
        <v>20</v>
      </c>
      <c r="D4" s="3" t="s">
        <v>30</v>
      </c>
    </row>
    <row r="5" spans="1:4" x14ac:dyDescent="0.25">
      <c r="A5" t="s">
        <v>31</v>
      </c>
      <c r="B5" s="6">
        <v>0.3</v>
      </c>
      <c r="C5" t="s">
        <v>32</v>
      </c>
      <c r="D5" t="s">
        <v>33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34</v>
      </c>
      <c r="B1" s="1"/>
      <c r="C1" s="1"/>
      <c r="D1" s="1"/>
      <c r="E1" s="1"/>
      <c r="F1" s="1"/>
    </row>
    <row r="2" spans="1:6" x14ac:dyDescent="0.25">
      <c r="A2" s="2" t="s">
        <v>35</v>
      </c>
      <c r="B2" s="2"/>
      <c r="C2" s="2"/>
      <c r="D2" s="2"/>
      <c r="E2" s="2"/>
      <c r="F2" s="2"/>
    </row>
    <row r="4" spans="1:3" x14ac:dyDescent="0.25">
      <c r="A4" s="3" t="s">
        <v>17</v>
      </c>
      <c r="B4" s="3" t="s">
        <v>18</v>
      </c>
      <c r="C4" s="3" t="s">
        <v>19</v>
      </c>
    </row>
    <row r="5" spans="1:3" x14ac:dyDescent="0.25">
      <c r="A5" t="s">
        <v>22</v>
      </c>
      <c r="B5">
        <f>入力!B5</f>
        <v>1000</v>
      </c>
      <c r="C5">
        <f>入力!C5</f>
        <v>1100</v>
      </c>
    </row>
    <row r="6" spans="1:3" x14ac:dyDescent="0.25">
      <c r="A6" t="s">
        <v>23</v>
      </c>
      <c r="B6">
        <f>入力!B6</f>
        <v>650</v>
      </c>
      <c r="C6">
        <f>入力!C6</f>
        <v>700</v>
      </c>
    </row>
    <row r="7" spans="1:3" x14ac:dyDescent="0.25">
      <c r="A7" t="s">
        <v>36</v>
      </c>
      <c r="B7" s="7">
        <f>B5-B6</f>
        <v>350</v>
      </c>
      <c r="C7" s="7">
        <f>C5-C6</f>
        <v>400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37</v>
      </c>
      <c r="B1" s="1"/>
      <c r="C1" s="1"/>
      <c r="D1" s="1"/>
      <c r="E1" s="1"/>
      <c r="F1" s="1"/>
    </row>
    <row r="2" spans="1:6" x14ac:dyDescent="0.25">
      <c r="A2" s="2" t="s">
        <v>38</v>
      </c>
      <c r="B2" s="2"/>
      <c r="C2" s="2"/>
      <c r="D2" s="2"/>
      <c r="E2" s="2"/>
      <c r="F2" s="2"/>
    </row>
    <row r="4" spans="1:3" x14ac:dyDescent="0.25">
      <c r="A4" s="3" t="s">
        <v>17</v>
      </c>
      <c r="B4" s="3" t="s">
        <v>18</v>
      </c>
      <c r="C4" s="3" t="s">
        <v>19</v>
      </c>
    </row>
    <row r="5" spans="1:3" x14ac:dyDescent="0.25">
      <c r="A5" t="s">
        <v>39</v>
      </c>
      <c r="B5">
        <v>100</v>
      </c>
      <c r="C5">
        <f>CF!C10</f>
        <v>145</v>
      </c>
    </row>
    <row r="6" spans="1:3" x14ac:dyDescent="0.25">
      <c r="A6" t="s">
        <v>24</v>
      </c>
      <c r="B6">
        <v>120</v>
      </c>
      <c r="C6">
        <f>入力!C7</f>
        <v>132</v>
      </c>
    </row>
    <row r="8" spans="1:3" x14ac:dyDescent="0.25">
      <c r="A8" t="s">
        <v>40</v>
      </c>
      <c r="B8">
        <v>220</v>
      </c>
      <c r="C8" s="7">
        <f>SUM(C5:C6)</f>
        <v>277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41</v>
      </c>
      <c r="B1" s="1"/>
      <c r="C1" s="1"/>
      <c r="D1" s="1"/>
      <c r="E1" s="1"/>
      <c r="F1" s="1"/>
    </row>
    <row r="2" spans="1:6" x14ac:dyDescent="0.25">
      <c r="A2" s="2" t="s">
        <v>42</v>
      </c>
      <c r="B2" s="2"/>
      <c r="C2" s="2"/>
      <c r="D2" s="2"/>
      <c r="E2" s="2"/>
      <c r="F2" s="2"/>
    </row>
    <row r="4" spans="1:3" x14ac:dyDescent="0.25">
      <c r="A4" s="3" t="s">
        <v>17</v>
      </c>
      <c r="B4" s="3" t="s">
        <v>18</v>
      </c>
      <c r="C4" s="3" t="s">
        <v>19</v>
      </c>
    </row>
    <row r="5" spans="1:3" x14ac:dyDescent="0.25">
      <c r="A5" t="s">
        <v>43</v>
      </c>
      <c r="B5">
        <v>70</v>
      </c>
      <c r="C5">
        <v>90</v>
      </c>
    </row>
    <row r="6" spans="1:3" x14ac:dyDescent="0.25">
      <c r="A6" t="s">
        <v>44</v>
      </c>
      <c r="B6">
        <v>-40</v>
      </c>
      <c r="C6">
        <f>-入力!C8</f>
        <v>-45</v>
      </c>
    </row>
    <row r="9" spans="1:3" x14ac:dyDescent="0.25">
      <c r="A9" t="s">
        <v>45</v>
      </c>
      <c r="B9">
        <v>30</v>
      </c>
      <c r="C9">
        <f>SUM(C5:C6)</f>
        <v>45</v>
      </c>
    </row>
    <row r="10" spans="1:3" x14ac:dyDescent="0.25">
      <c r="A10" t="s">
        <v>46</v>
      </c>
      <c r="B10">
        <v>100</v>
      </c>
      <c r="C10" s="7">
        <f>B10+C9</f>
        <v>145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11</v>
      </c>
      <c r="B1" s="1"/>
      <c r="C1" s="1"/>
      <c r="D1" s="1"/>
      <c r="E1" s="1"/>
      <c r="F1" s="1"/>
    </row>
    <row r="2" spans="1:6" x14ac:dyDescent="0.25">
      <c r="A2" s="2" t="s">
        <v>47</v>
      </c>
      <c r="B2" s="2"/>
      <c r="C2" s="2"/>
      <c r="D2" s="2"/>
      <c r="E2" s="2"/>
      <c r="F2" s="2"/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48</v>
      </c>
      <c r="B1" s="1"/>
      <c r="C1" s="1"/>
      <c r="D1" s="1"/>
      <c r="E1" s="1"/>
      <c r="F1" s="1"/>
    </row>
    <row r="2" spans="1:6" x14ac:dyDescent="0.25">
      <c r="A2" s="2" t="s">
        <v>49</v>
      </c>
      <c r="B2" s="2"/>
      <c r="C2" s="2"/>
      <c r="D2" s="2"/>
      <c r="E2" s="2"/>
      <c r="F2" s="2"/>
    </row>
    <row r="4" spans="1:3" x14ac:dyDescent="0.25">
      <c r="A4" s="3" t="s">
        <v>50</v>
      </c>
      <c r="B4" s="3" t="s">
        <v>51</v>
      </c>
      <c r="C4" s="3" t="s">
        <v>52</v>
      </c>
    </row>
    <row r="5" spans="1:3" x14ac:dyDescent="0.25">
      <c r="A5" t="s">
        <v>53</v>
      </c>
      <c r="B5">
        <v>0</v>
      </c>
      <c r="C5" s="7" t="str">
        <f>IF(B5=0,"適合","要確認")</f>
        <v>適合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表紙</vt:lpstr>
      <vt:lpstr>入力</vt:lpstr>
      <vt:lpstr>前提</vt:lpstr>
      <vt:lpstr>PL</vt:lpstr>
      <vt:lpstr>BS</vt:lpstr>
      <vt:lpstr>CF</vt:lpstr>
      <vt:lpstr>計算明細</vt:lpstr>
      <vt:lpstr>チェック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Modeling Lab 編集部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2026-07-22T00:00:00Z</dcterms:modified>
</cp:coreProperties>
</file>